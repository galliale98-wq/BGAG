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bookViews>
    <workbookView xWindow="-1860" yWindow="4608" windowWidth="23040" windowHeight="12120" tabRatio="500" xr2:uid="{00000000-000D-0000-FFFF-FFFF00000000}"/>
  </bookViews>
  <sheets>
    <sheet name="Movimenti" sheetId="1" r:id="rId1"/>
    <sheet name="Impostazioni" sheetId="2" r:id="rId2"/>
    <sheet name="Budget" sheetId="3" r:id="rId3"/>
    <sheet name="Riepilogo" sheetId="4" r:id="rId4"/>
    <sheet name="Istruzioni" sheetId="5" state="hidden" r:id="rId5"/>
    <sheet name="Annuale" sheetId="6" r:id="rId6"/>
  </sheets>
  <definedNames>
    <definedName name="_xlnm._FilterDatabase" localSheetId="0" hidden="1">Movimenti!$B$4:$I$504</definedName>
    <definedName name="Categorie">OFFSET(Impostazioni!$B$9,0,0,MAX(1,COUNTA(Impostazioni!$B$9:$B$38)),1)</definedName>
    <definedName name="Mesi">Impostazioni!$I$9:$I$20</definedName>
  </definedNames>
  <calcPr calcId="191028" fullCalcOnLoad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;[Red]\-#,##0.00&quot; €&quot;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1"/>
      <color rgb="FF3B3733"/>
      <name val="Arial"/>
      <family val="2"/>
    </font>
    <font>
      <i/>
      <sz val="9"/>
      <color rgb="FF8A8078"/>
      <name val="Arial"/>
      <family val="2"/>
    </font>
    <font>
      <b/>
      <sz val="10"/>
      <color rgb="FFFFFFFF"/>
      <name val="Arial"/>
      <family val="2"/>
    </font>
    <font>
      <sz val="10"/>
      <color rgb="FFB45309"/>
      <name val="Arial"/>
      <family val="2"/>
    </font>
    <font>
      <sz val="10"/>
      <color rgb="FF3B3733"/>
      <name val="Arial"/>
      <family val="2"/>
    </font>
    <font>
      <b/>
      <sz val="10"/>
      <color rgb="FF3B3733"/>
      <name val="Arial"/>
      <family val="2"/>
    </font>
    <font>
      <b/>
      <sz val="11"/>
      <color rgb="FFFFFFFF"/>
      <name val="Arial"/>
      <family val="2"/>
    </font>
    <font>
      <sz val="10"/>
      <color rgb="FF6B6259"/>
      <name val="Arial"/>
      <family val="2"/>
    </font>
    <font>
      <b/>
      <sz val="12"/>
      <color rgb="FF3B3733"/>
      <name val="Arial"/>
      <family val="2"/>
    </font>
    <font>
      <b/>
      <sz val="16"/>
      <color rgb="FF7B3416"/>
      <name val="Arial"/>
      <family val="2"/>
    </font>
    <font>
      <b/>
      <sz val="10"/>
      <color rgb="FFFFFFFF"/>
      <name val="Arial"/>
      <family val="2"/>
    </font>
    <font>
      <b/>
      <sz val="10"/>
      <color rgb="FFB4530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B3416"/>
        <bgColor rgb="FF92400E"/>
      </patternFill>
    </fill>
    <fill>
      <patternFill patternType="solid">
        <fgColor rgb="FFD97A28"/>
        <bgColor rgb="FFFF9900"/>
      </patternFill>
    </fill>
    <fill>
      <patternFill patternType="solid">
        <fgColor rgb="FFFFF9EF"/>
        <bgColor rgb="FFFFFFFF"/>
      </patternFill>
    </fill>
    <fill>
      <patternFill patternType="solid">
        <fgColor rgb="FFEFEAE4"/>
        <bgColor rgb="FFDDE8CD"/>
      </patternFill>
    </fill>
    <fill>
      <patternFill patternType="solid">
        <fgColor rgb="FFF7E0C8"/>
        <bgColor rgb="FFF9D5C7"/>
      </patternFill>
    </fill>
    <fill>
      <patternFill patternType="solid">
        <fgColor rgb="FFFFFF00"/>
        <bgColor rgb="FFFFFFFF"/>
      </patternFill>
    </fill>
  </fills>
  <borders count="8">
    <border>
      <left/>
      <right/>
      <top/>
      <bottom/>
      <diagonal/>
    </border>
    <border>
      <left style="thin">
        <color rgb="FFE3D5C3"/>
      </left>
      <right style="thin">
        <color rgb="FFE3D5C3"/>
      </right>
      <top style="thin">
        <color rgb="FFE3D5C3"/>
      </top>
      <bottom style="thin">
        <color rgb="FFE3D5C3"/>
      </bottom>
      <diagonal/>
    </border>
    <border>
      <left style="thin">
        <color rgb="FFE3D5C3"/>
      </left>
      <right style="thin">
        <color rgb="FFE3D5C3"/>
      </right>
      <top/>
      <bottom style="thin">
        <color rgb="FFE3D5C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5" fillId="4" borderId="1" xfId="0" applyFont="1" applyFill="1" applyBorder="1"/>
    <xf numFmtId="164" fontId="5" fillId="4" borderId="1" xfId="0" applyNumberFormat="1" applyFont="1" applyFill="1" applyBorder="1"/>
    <xf numFmtId="0" fontId="6" fillId="5" borderId="1" xfId="0" applyFont="1" applyFill="1" applyBorder="1" applyAlignment="1">
      <alignment horizontal="center"/>
    </xf>
    <xf numFmtId="0" fontId="7" fillId="0" borderId="0" xfId="0" applyFont="1"/>
    <xf numFmtId="0" fontId="2" fillId="3" borderId="0" xfId="0" applyFont="1" applyFill="1"/>
    <xf numFmtId="0" fontId="4" fillId="3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164" fontId="6" fillId="0" borderId="1" xfId="0" applyNumberFormat="1" applyFont="1" applyBorder="1"/>
    <xf numFmtId="164" fontId="7" fillId="6" borderId="1" xfId="0" applyNumberFormat="1" applyFont="1" applyFill="1" applyBorder="1"/>
    <xf numFmtId="0" fontId="6" fillId="0" borderId="1" xfId="0" applyFont="1" applyBorder="1"/>
    <xf numFmtId="1" fontId="9" fillId="0" borderId="0" xfId="0" applyNumberFormat="1" applyFont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7" fillId="6" borderId="0" xfId="0" applyFont="1" applyFill="1"/>
    <xf numFmtId="0" fontId="2" fillId="6" borderId="0" xfId="0" applyFont="1" applyFill="1"/>
    <xf numFmtId="0" fontId="4" fillId="2" borderId="0" xfId="0" applyFont="1" applyFill="1"/>
    <xf numFmtId="164" fontId="4" fillId="2" borderId="1" xfId="0" applyNumberFormat="1" applyFont="1" applyFill="1" applyBorder="1"/>
    <xf numFmtId="0" fontId="6" fillId="5" borderId="0" xfId="0" applyFont="1" applyFill="1" applyAlignment="1">
      <alignment horizontal="center"/>
    </xf>
    <xf numFmtId="1" fontId="9" fillId="0" borderId="0" xfId="0" applyNumberFormat="1" applyFont="1" applyAlignment="1">
      <alignment horizontal="center"/>
    </xf>
    <xf numFmtId="164" fontId="10" fillId="6" borderId="1" xfId="0" applyNumberFormat="1" applyFont="1" applyFill="1" applyBorder="1" applyAlignment="1">
      <alignment horizontal="center"/>
    </xf>
    <xf numFmtId="9" fontId="10" fillId="6" borderId="1" xfId="0" applyNumberFormat="1" applyFont="1" applyFill="1" applyBorder="1" applyAlignment="1">
      <alignment horizontal="center"/>
    </xf>
    <xf numFmtId="164" fontId="7" fillId="0" borderId="1" xfId="0" applyNumberFormat="1" applyFont="1" applyBorder="1"/>
    <xf numFmtId="9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6" borderId="1" xfId="0" applyFont="1" applyFill="1" applyBorder="1"/>
    <xf numFmtId="9" fontId="7" fillId="6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/>
    </xf>
    <xf numFmtId="0" fontId="8" fillId="3" borderId="0" xfId="0" applyFont="1" applyFill="1" applyAlignment="1">
      <alignment horizontal="center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vertical="top" wrapText="1"/>
    </xf>
    <xf numFmtId="0" fontId="7" fillId="4" borderId="0" xfId="0" applyFont="1" applyFill="1" applyAlignment="1">
      <alignment horizontal="center" vertical="top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1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3" fillId="4" borderId="1" xfId="0" applyNumberFormat="1" applyFont="1" applyFill="1" applyBorder="1" applyAlignment="1">
      <alignment horizontal="center"/>
    </xf>
    <xf numFmtId="0" fontId="5" fillId="4" borderId="2" xfId="0" applyFont="1" applyFill="1" applyBorder="1"/>
    <xf numFmtId="0" fontId="5" fillId="4" borderId="2" xfId="0" applyFont="1" applyFill="1" applyBorder="1" applyAlignment="1">
      <alignment horizontal="center"/>
    </xf>
    <xf numFmtId="164" fontId="5" fillId="4" borderId="2" xfId="0" applyNumberFormat="1" applyFont="1" applyFill="1" applyBorder="1"/>
    <xf numFmtId="164" fontId="6" fillId="0" borderId="2" xfId="0" applyNumberFormat="1" applyFont="1" applyBorder="1"/>
    <xf numFmtId="164" fontId="7" fillId="6" borderId="2" xfId="0" applyNumberFormat="1" applyFont="1" applyFill="1" applyBorder="1"/>
    <xf numFmtId="0" fontId="12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12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14" fontId="5" fillId="4" borderId="1" xfId="0" applyNumberFormat="1" applyFont="1" applyFill="1" applyBorder="1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7" borderId="1" xfId="0" applyFont="1" applyFill="1" applyBorder="1"/>
  </cellXfs>
  <cellStyles count="1">
    <cellStyle name="Normal" xfId="0" builtinId="0"/>
  </cellStyles>
  <dxfs count="8">
    <dxf>
      <font>
        <b/>
        <sz val="10"/>
        <color rgb="FF9C2B0E"/>
        <name val="Arial"/>
        <charset val="1"/>
      </font>
      <fill>
        <patternFill>
          <bgColor rgb="FFF9D5C7"/>
        </patternFill>
      </fill>
    </dxf>
    <dxf>
      <font>
        <b/>
        <sz val="10"/>
        <color rgb="FF4A6B21"/>
        <name val="Arial"/>
        <charset val="1"/>
      </font>
      <fill>
        <patternFill>
          <bgColor rgb="FFDDE8CD"/>
        </patternFill>
      </fill>
    </dxf>
    <dxf>
      <font>
        <b/>
        <sz val="10"/>
        <color rgb="FF92400E"/>
        <name val="Arial"/>
        <charset val="1"/>
      </font>
      <fill>
        <patternFill>
          <bgColor rgb="FFFBE3B0"/>
        </patternFill>
      </fill>
    </dxf>
    <dxf>
      <font>
        <b/>
        <sz val="10"/>
        <color rgb="FF9C2B0E"/>
        <name val="Arial"/>
        <charset val="1"/>
      </font>
      <fill>
        <patternFill>
          <bgColor rgb="FFF9D5C7"/>
        </patternFill>
      </fill>
    </dxf>
    <dxf>
      <font>
        <b/>
        <sz val="10"/>
        <color rgb="FF9C2B0E"/>
        <name val="Arial"/>
        <charset val="1"/>
      </font>
      <fill>
        <patternFill>
          <bgColor rgb="FFF9D5C7"/>
        </patternFill>
      </fill>
    </dxf>
    <dxf>
      <font>
        <b/>
        <sz val="10"/>
        <color rgb="FF4A6B21"/>
        <name val="Arial"/>
        <charset val="1"/>
      </font>
      <fill>
        <patternFill>
          <bgColor rgb="FFDDE8CD"/>
        </patternFill>
      </fill>
    </dxf>
    <dxf>
      <font>
        <b/>
        <sz val="10"/>
        <color rgb="FF9C2B0E"/>
        <name val="Arial"/>
        <charset val="1"/>
      </font>
      <fill>
        <patternFill>
          <bgColor rgb="FFF9D5C7"/>
        </patternFill>
      </fill>
    </dxf>
    <dxf>
      <font>
        <b/>
        <sz val="10"/>
        <color rgb="FF9C2B0E"/>
        <name val="Arial"/>
        <charset val="1"/>
      </font>
      <fill>
        <patternFill>
          <bgColor rgb="FFF9D5C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A6B21"/>
      <rgbColor rgb="FF800080"/>
      <rgbColor rgb="FF008080"/>
      <rgbColor rgb="FFB3B3B3"/>
      <rgbColor rgb="FF8A8078"/>
      <rgbColor rgb="FF9999FF"/>
      <rgbColor rgb="FF92400E"/>
      <rgbColor rgb="FFFFF9EF"/>
      <rgbColor rgb="FFEFEAE4"/>
      <rgbColor rgb="FF660066"/>
      <rgbColor rgb="FFB4530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E0C8"/>
      <rgbColor rgb="FFDDE8CD"/>
      <rgbColor rgb="FFFBE3B0"/>
      <rgbColor rgb="FFE3D5C3"/>
      <rgbColor rgb="FFF9D5C7"/>
      <rgbColor rgb="FFCC99FF"/>
      <rgbColor rgb="FFF0C9A0"/>
      <rgbColor rgb="FF3366FF"/>
      <rgbColor rgb="FF33CCCC"/>
      <rgbColor rgb="FF99CC00"/>
      <rgbColor rgb="FFFFCC00"/>
      <rgbColor rgb="FFFF9900"/>
      <rgbColor rgb="FFD97A28"/>
      <rgbColor rgb="FF6B6259"/>
      <rgbColor rgb="FF969696"/>
      <rgbColor rgb="FF003366"/>
      <rgbColor rgb="FF339966"/>
      <rgbColor rgb="FF003300"/>
      <rgbColor rgb="FF333300"/>
      <rgbColor rgb="FF9C2B0E"/>
      <rgbColor rgb="FF7B3416"/>
      <rgbColor rgb="FF333399"/>
      <rgbColor rgb="FF3B37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Uscite: previste vs effettive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Annuale!$F$5</c:f>
              <c:strCache>
                <c:ptCount val="1"/>
                <c:pt idx="0">
                  <c:v>Uscite previste</c:v>
                </c:pt>
              </c:strCache>
            </c:strRef>
          </c:tx>
          <c:spPr>
            <a:solidFill>
              <a:srgbClr val="F0C9A0"/>
            </a:solidFill>
            <a:ln w="9360">
              <a:solidFill>
                <a:srgbClr val="F0C9A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Annuale!$B$6:$B$17</c:f>
              <c:strCache>
                <c:ptCount val="12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  <c:pt idx="6">
                  <c:v>Luglio</c:v>
                </c:pt>
                <c:pt idx="7">
                  <c:v>Agosto</c:v>
                </c:pt>
                <c:pt idx="8">
                  <c:v>Settembre</c:v>
                </c:pt>
                <c:pt idx="9">
                  <c:v>Ottobre</c:v>
                </c:pt>
                <c:pt idx="10">
                  <c:v>Novembre</c:v>
                </c:pt>
                <c:pt idx="11">
                  <c:v>Dicembre</c:v>
                </c:pt>
              </c:strCache>
            </c:strRef>
          </c:cat>
          <c:val>
            <c:numRef>
              <c:f>Annuale!$F$6:$F$17</c:f>
            </c:numRef>
          </c:val>
          <c:extLst>
            <c:ext xmlns:c16="http://schemas.microsoft.com/office/drawing/2014/chart" uri="{C3380CC4-5D6E-409C-BE32-E72D297353CC}">
              <c16:uniqueId val="{00000000-9556-40E0-8F48-B1D6D50165E0}"/>
            </c:ext>
          </c:extLst>
        </c:ser>
        <c:ser>
          <c:idx val="1"/>
          <c:order val="1"/>
          <c:tx>
            <c:strRef>
              <c:f>Annuale!$G$5</c:f>
              <c:strCache>
                <c:ptCount val="1"/>
                <c:pt idx="0">
                  <c:v>Uscite effettive</c:v>
                </c:pt>
              </c:strCache>
            </c:strRef>
          </c:tx>
          <c:spPr>
            <a:solidFill>
              <a:srgbClr val="D97A28"/>
            </a:solidFill>
            <a:ln w="9360">
              <a:solidFill>
                <a:srgbClr val="D97A2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Annuale!$B$6:$B$17</c:f>
              <c:strCache>
                <c:ptCount val="12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  <c:pt idx="6">
                  <c:v>Luglio</c:v>
                </c:pt>
                <c:pt idx="7">
                  <c:v>Agosto</c:v>
                </c:pt>
                <c:pt idx="8">
                  <c:v>Settembre</c:v>
                </c:pt>
                <c:pt idx="9">
                  <c:v>Ottobre</c:v>
                </c:pt>
                <c:pt idx="10">
                  <c:v>Novembre</c:v>
                </c:pt>
                <c:pt idx="11">
                  <c:v>Dicembre</c:v>
                </c:pt>
              </c:strCache>
            </c:strRef>
          </c:cat>
          <c:val>
            <c:numRef>
              <c:f>Annuale!$G$6:$G$17</c:f>
            </c:numRef>
          </c:val>
          <c:extLst>
            <c:ext xmlns:c16="http://schemas.microsoft.com/office/drawing/2014/chart" uri="{C3380CC4-5D6E-409C-BE32-E72D297353CC}">
              <c16:uniqueId val="{00000001-9556-40E0-8F48-B1D6D5016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9503529"/>
        <c:axId val="34757886"/>
      </c:barChart>
      <c:catAx>
        <c:axId val="795035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Mese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34757886"/>
        <c:crosses val="autoZero"/>
        <c:auto val="1"/>
        <c:lblAlgn val="ctr"/>
        <c:lblOffset val="100"/>
        <c:noMultiLvlLbl val="0"/>
      </c:catAx>
      <c:valAx>
        <c:axId val="347578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795035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137160</xdr:colOff>
      <xdr:row>21</xdr:row>
      <xdr:rowOff>171540</xdr:rowOff>
    </xdr:from>
    <xdr:to>
      <xdr:col>9</xdr:col>
      <xdr:colOff>12060</xdr:colOff>
      <xdr:row>37</xdr:row>
      <xdr:rowOff>155340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4"/>
  <sheetViews>
    <sheetView showGridLines="0" tabSelected="1" zoomScale="85" zoomScaleNormal="85" workbookViewId="0">
      <pane ySplit="4" topLeftCell="A26" activePane="bottomLeft" state="frozen"/>
      <selection activeCell="D1" sqref="D1"/>
      <selection pane="bottomLeft" activeCell="E36" sqref="E36"/>
    </sheetView>
  </sheetViews>
  <sheetFormatPr defaultColWidth="8.5546875" defaultRowHeight="14.4" x14ac:dyDescent="0.3"/>
  <cols>
    <col min="2" max="2" width="22.21875" style="58" customWidth="1"/>
    <col min="3" max="3" width="21.109375" customWidth="1"/>
    <col min="4" max="4" width="61.5546875" customWidth="1"/>
    <col min="5" max="5" width="21.77734375" customWidth="1"/>
    <col min="6" max="6" width="9.77734375" bestFit="1" customWidth="1"/>
    <col min="7" max="7" width="10" bestFit="1" customWidth="1"/>
    <col min="8" max="8" width="9.33203125" bestFit="1" customWidth="1"/>
    <col min="9" max="9" width="14" hidden="1" customWidth="1"/>
  </cols>
  <sheetData>
    <row r="1" spans="2:9" x14ac:dyDescent="0.3">
      <c r="B1"/>
    </row>
    <row r="2" spans="2:9" ht="21.75" customHeight="1" x14ac:dyDescent="0.3">
      <c r="B2" s="59" t="inlineStr">
        <is>
          <t>MOVIMENTI — Entrate/spese senza segno</t>
        </is>
      </c>
      <c r="C2" s="59"/>
      <c r="D2" s="59"/>
      <c r="E2" s="59"/>
      <c r="F2" s="59"/>
      <c r="G2" s="59"/>
      <c r="H2" s="59"/>
    </row>
    <row r="3" spans="2:9" x14ac:dyDescent="0.3">
      <c r="B3" s="3"/>
      <c r="C3" s="4"/>
      <c r="D3" s="4"/>
      <c r="E3" s="4"/>
      <c r="F3" s="4"/>
      <c r="G3" s="4"/>
      <c r="H3" s="4"/>
    </row>
    <row r="4" spans="2:9" ht="19.5" customHeight="1" x14ac:dyDescent="0.3">
      <c r="B4" s="40" t="inlineStr">
        <is>
          <t>Data</t>
        </is>
      </c>
      <c r="C4" s="40" t="inlineStr">
        <is>
          <t>Categoria</t>
        </is>
      </c>
      <c r="D4" s="40" t="inlineStr">
        <is>
          <t>Descrizione</t>
        </is>
      </c>
      <c r="E4" s="40" t="inlineStr">
        <is>
          <t>Importo (€)</t>
        </is>
      </c>
      <c r="F4" s="40" t="inlineStr">
        <is>
          <t>Mese</t>
        </is>
      </c>
      <c r="G4" s="40" t="inlineStr">
        <is>
          <t>Anno</t>
        </is>
      </c>
      <c r="H4" s="40" t="inlineStr">
        <is>
          <t>Tipo</t>
        </is>
      </c>
      <c r="I4" s="40" t="inlineStr">
        <is>
          <t>ID</t>
        </is>
      </c>
    </row>
    <row r="5" spans="2:9" x14ac:dyDescent="0.3">
      <c r="B5" s="57"/>
      <c r="C5" s="5"/>
      <c r="D5" s="5"/>
      <c r="E5" s="6"/>
      <c r="F5" s="7">
        <f t="shared" ref="F5:F68" si="0">IF($B5="","",MONTH($B5))</f>
      </c>
      <c r="G5" s="7">
        <f t="shared" ref="G5:G68" si="1">IF($B5="","",YEAR($B5))</f>
      </c>
      <c r="H5" s="7">
        <f>IF($C5="","",IFERROR(INDEX(Impostazioni!$C$9:$C$38,MATCH($C5,Impostazioni!$B$9:$B$38,0)),"?? categoria non trovata"))</f>
      </c>
      <c r="I5"/>
    </row>
    <row r="6" spans="2:9" x14ac:dyDescent="0.3">
      <c r="B6" s="57"/>
      <c r="C6" s="5"/>
      <c r="D6" s="5"/>
      <c r="E6" s="6"/>
      <c r="F6" s="7">
        <f t="shared" si="0"/>
      </c>
      <c r="G6" s="7">
        <f t="shared" si="1"/>
      </c>
      <c r="H6" s="7">
        <f>IF($C6="","",IFERROR(INDEX(Impostazioni!$C$9:$C$38,MATCH($C6,Impostazioni!$B$9:$B$38,0)),"?? categoria non trovata"))</f>
      </c>
      <c r="I6"/>
    </row>
    <row r="7" spans="2:9" x14ac:dyDescent="0.3">
      <c r="B7" s="57"/>
      <c r="C7" s="5"/>
      <c r="D7" s="5"/>
      <c r="E7" s="6"/>
      <c r="F7" s="7">
        <f t="shared" si="0"/>
      </c>
      <c r="G7" s="7">
        <f t="shared" si="1"/>
      </c>
      <c r="H7" s="7">
        <f>IF($C7="","",IFERROR(INDEX(Impostazioni!$C$9:$C$38,MATCH($C7,Impostazioni!$B$9:$B$38,0)),"?? categoria non trovata"))</f>
      </c>
      <c r="I7"/>
    </row>
    <row r="8" spans="2:9" x14ac:dyDescent="0.3">
      <c r="B8" s="57"/>
      <c r="C8" s="5"/>
      <c r="D8" s="5"/>
      <c r="E8" s="6"/>
      <c r="F8" s="7">
        <f t="shared" si="0"/>
      </c>
      <c r="G8" s="7">
        <f t="shared" si="1"/>
      </c>
      <c r="H8" s="7">
        <f>IF($C8="","",IFERROR(INDEX(Impostazioni!$C$9:$C$38,MATCH($C8,Impostazioni!$B$9:$B$38,0)),"?? categoria non trovata"))</f>
      </c>
      <c r="I8"/>
    </row>
    <row r="9" spans="2:9" x14ac:dyDescent="0.3">
      <c r="B9" s="57"/>
      <c r="C9" s="5"/>
      <c r="D9" s="5"/>
      <c r="E9" s="6"/>
      <c r="F9" s="7">
        <f t="shared" si="0"/>
      </c>
      <c r="G9" s="7">
        <f t="shared" si="1"/>
      </c>
      <c r="H9" s="7">
        <f>IF($C9="","",IFERROR(INDEX(Impostazioni!$C$9:$C$38,MATCH($C9,Impostazioni!$B$9:$B$38,0)),"?? categoria non trovata"))</f>
      </c>
      <c r="I9"/>
    </row>
    <row r="10" spans="2:9" x14ac:dyDescent="0.3">
      <c r="B10" s="57"/>
      <c r="C10" s="5"/>
      <c r="D10" s="5"/>
      <c r="E10" s="6"/>
      <c r="F10" s="7">
        <f t="shared" si="0"/>
      </c>
      <c r="G10" s="7">
        <f t="shared" si="1"/>
      </c>
      <c r="H10" s="7">
        <f>IF($C10="","",IFERROR(INDEX(Impostazioni!$C$9:$C$38,MATCH($C10,Impostazioni!$B$9:$B$38,0)),"?? categoria non trovata"))</f>
      </c>
      <c r="I10"/>
    </row>
    <row r="11" spans="2:9" x14ac:dyDescent="0.3">
      <c r="B11" s="57"/>
      <c r="C11" s="5"/>
      <c r="D11" s="5"/>
      <c r="E11" s="6"/>
      <c r="F11" s="7">
        <f t="shared" si="0"/>
      </c>
      <c r="G11" s="7">
        <f t="shared" si="1"/>
      </c>
      <c r="H11" s="7">
        <f>IF($C11="","",IFERROR(INDEX(Impostazioni!$C$9:$C$38,MATCH($C11,Impostazioni!$B$9:$B$38,0)),"?? categoria non trovata"))</f>
      </c>
      <c r="I11"/>
    </row>
    <row r="12" spans="2:9" x14ac:dyDescent="0.3">
      <c r="B12" s="57"/>
      <c r="C12" s="5"/>
      <c r="D12" s="5"/>
      <c r="E12" s="6"/>
      <c r="F12" s="7">
        <f t="shared" si="0"/>
      </c>
      <c r="G12" s="7">
        <f t="shared" si="1"/>
      </c>
      <c r="H12" s="7">
        <f>IF($C12="","",IFERROR(INDEX(Impostazioni!$C$9:$C$38,MATCH($C12,Impostazioni!$B$9:$B$38,0)),"?? categoria non trovata"))</f>
      </c>
      <c r="I12"/>
    </row>
    <row r="13" spans="2:9" x14ac:dyDescent="0.3">
      <c r="B13" s="57"/>
      <c r="C13" s="5"/>
      <c r="D13" s="5"/>
      <c r="E13" s="6"/>
      <c r="F13" s="7">
        <f t="shared" si="0"/>
      </c>
      <c r="G13" s="7">
        <f t="shared" si="1"/>
      </c>
      <c r="H13" s="7">
        <f>IF($C13="","",IFERROR(INDEX(Impostazioni!$C$9:$C$38,MATCH($C13,Impostazioni!$B$9:$B$38,0)),"?? categoria non trovata"))</f>
      </c>
      <c r="I13"/>
    </row>
    <row r="14" spans="2:9" x14ac:dyDescent="0.3">
      <c r="B14" s="57"/>
      <c r="C14" s="5"/>
      <c r="D14" s="5"/>
      <c r="E14" s="6"/>
      <c r="F14" s="7">
        <f t="shared" si="0"/>
      </c>
      <c r="G14" s="7">
        <f t="shared" si="1"/>
      </c>
      <c r="H14" s="7">
        <f>IF($C14="","",IFERROR(INDEX(Impostazioni!$C$9:$C$38,MATCH($C14,Impostazioni!$B$9:$B$38,0)),"?? categoria non trovata"))</f>
      </c>
      <c r="I14"/>
    </row>
    <row r="15" spans="2:9" x14ac:dyDescent="0.3">
      <c r="B15" s="57"/>
      <c r="C15" s="5"/>
      <c r="D15" s="5"/>
      <c r="E15" s="6"/>
      <c r="F15" s="7">
        <f t="shared" si="0"/>
      </c>
      <c r="G15" s="7">
        <f t="shared" si="1"/>
      </c>
      <c r="H15" s="7">
        <f>IF($C15="","",IFERROR(INDEX(Impostazioni!$C$9:$C$38,MATCH($C15,Impostazioni!$B$9:$B$38,0)),"?? categoria non trovata"))</f>
      </c>
      <c r="I15"/>
    </row>
    <row r="16" spans="2:9" x14ac:dyDescent="0.3">
      <c r="B16" s="57"/>
      <c r="C16" s="5"/>
      <c r="D16" s="5"/>
      <c r="E16" s="6"/>
      <c r="F16" s="7">
        <f t="shared" si="0"/>
      </c>
      <c r="G16" s="7">
        <f t="shared" si="1"/>
      </c>
      <c r="H16" s="7">
        <f>IF($C16="","",IFERROR(INDEX(Impostazioni!$C$9:$C$38,MATCH($C16,Impostazioni!$B$9:$B$38,0)),"?? categoria non trovata"))</f>
      </c>
      <c r="I16"/>
    </row>
    <row r="17" spans="2:9" x14ac:dyDescent="0.3">
      <c r="B17" s="57"/>
      <c r="C17" s="5"/>
      <c r="D17" s="5"/>
      <c r="E17" s="6"/>
      <c r="F17" s="7">
        <f t="shared" si="0"/>
      </c>
      <c r="G17" s="7">
        <f t="shared" si="1"/>
      </c>
      <c r="H17" s="7">
        <f>IF($C17="","",IFERROR(INDEX(Impostazioni!$C$9:$C$38,MATCH($C17,Impostazioni!$B$9:$B$38,0)),"?? categoria non trovata"))</f>
      </c>
      <c r="I17"/>
    </row>
    <row r="18" spans="2:9" x14ac:dyDescent="0.3">
      <c r="B18" s="57"/>
      <c r="C18" s="5"/>
      <c r="D18" s="5"/>
      <c r="E18" s="6"/>
      <c r="F18" s="7">
        <f t="shared" si="0"/>
      </c>
      <c r="G18" s="7">
        <f t="shared" si="1"/>
      </c>
      <c r="H18" s="7">
        <f>IF($C18="","",IFERROR(INDEX(Impostazioni!$C$9:$C$38,MATCH($C18,Impostazioni!$B$9:$B$38,0)),"?? categoria non trovata"))</f>
      </c>
      <c r="I18"/>
    </row>
    <row r="19" spans="2:9" x14ac:dyDescent="0.3">
      <c r="B19" s="57"/>
      <c r="C19" s="5"/>
      <c r="D19" s="5"/>
      <c r="E19" s="6"/>
      <c r="F19" s="7">
        <f t="shared" si="0"/>
      </c>
      <c r="G19" s="7">
        <f t="shared" si="1"/>
      </c>
      <c r="H19" s="7">
        <f>IF($C19="","",IFERROR(INDEX(Impostazioni!$C$9:$C$38,MATCH($C19,Impostazioni!$B$9:$B$38,0)),"?? categoria non trovata"))</f>
      </c>
      <c r="I19"/>
    </row>
    <row r="20" spans="2:9" x14ac:dyDescent="0.3">
      <c r="B20" s="57"/>
      <c r="C20" s="5"/>
      <c r="D20" s="5"/>
      <c r="E20" s="6"/>
      <c r="F20" s="7">
        <f t="shared" si="0"/>
      </c>
      <c r="G20" s="7">
        <f t="shared" si="1"/>
      </c>
      <c r="H20" s="7">
        <f>IF($C20="","",IFERROR(INDEX(Impostazioni!$C$9:$C$38,MATCH($C20,Impostazioni!$B$9:$B$38,0)),"?? categoria non trovata"))</f>
      </c>
      <c r="I20"/>
    </row>
    <row r="21" spans="2:9" x14ac:dyDescent="0.3">
      <c r="B21" s="57"/>
      <c r="C21" s="5"/>
      <c r="D21" s="5"/>
      <c r="E21" s="6"/>
      <c r="F21" s="7">
        <f t="shared" si="0"/>
      </c>
      <c r="G21" s="7">
        <f t="shared" si="1"/>
      </c>
      <c r="H21" s="7">
        <f>IF($C21="","",IFERROR(INDEX(Impostazioni!$C$9:$C$38,MATCH($C21,Impostazioni!$B$9:$B$38,0)),"?? categoria non trovata"))</f>
      </c>
      <c r="I21"/>
    </row>
    <row r="22" spans="2:9" x14ac:dyDescent="0.3">
      <c r="B22" s="57"/>
      <c r="C22" s="5"/>
      <c r="D22" s="5"/>
      <c r="E22" s="6"/>
      <c r="F22" s="7">
        <f t="shared" si="0"/>
      </c>
      <c r="G22" s="7">
        <f t="shared" si="1"/>
      </c>
      <c r="H22" s="7">
        <f>IF($C22="","",IFERROR(INDEX(Impostazioni!$C$9:$C$38,MATCH($C22,Impostazioni!$B$9:$B$38,0)),"?? categoria non trovata"))</f>
      </c>
      <c r="I22"/>
    </row>
    <row r="23" spans="2:9" x14ac:dyDescent="0.3">
      <c r="B23" s="57"/>
      <c r="C23" s="5"/>
      <c r="D23" s="5"/>
      <c r="E23" s="6"/>
      <c r="F23" s="7">
        <f t="shared" si="0"/>
      </c>
      <c r="G23" s="7">
        <f t="shared" si="1"/>
      </c>
      <c r="H23" s="7">
        <f>IF($C23="","",IFERROR(INDEX(Impostazioni!$C$9:$C$38,MATCH($C23,Impostazioni!$B$9:$B$38,0)),"?? categoria non trovata"))</f>
      </c>
      <c r="I23"/>
    </row>
    <row r="24" spans="2:9" x14ac:dyDescent="0.3">
      <c r="B24" s="57"/>
      <c r="C24" s="5"/>
      <c r="D24" s="5"/>
      <c r="E24" s="6"/>
      <c r="F24" s="7">
        <f t="shared" si="0"/>
      </c>
      <c r="G24" s="7">
        <f t="shared" si="1"/>
      </c>
      <c r="H24" s="7">
        <f>IF($C24="","",IFERROR(INDEX(Impostazioni!$C$9:$C$38,MATCH($C24,Impostazioni!$B$9:$B$38,0)),"?? categoria non trovata"))</f>
      </c>
      <c r="I24"/>
    </row>
    <row r="25" spans="2:9" x14ac:dyDescent="0.3">
      <c r="B25" s="57"/>
      <c r="C25" s="5"/>
      <c r="D25" s="5"/>
      <c r="E25" s="6"/>
      <c r="F25" s="7">
        <f t="shared" si="0"/>
      </c>
      <c r="G25" s="7">
        <f t="shared" si="1"/>
      </c>
      <c r="H25" s="7">
        <f>IF($C25="","",IFERROR(INDEX(Impostazioni!$C$9:$C$38,MATCH($C25,Impostazioni!$B$9:$B$38,0)),"?? categoria non trovata"))</f>
      </c>
      <c r="I25"/>
    </row>
    <row r="26" spans="2:9" x14ac:dyDescent="0.3">
      <c r="B26" s="57"/>
      <c r="C26" s="5"/>
      <c r="D26" s="5"/>
      <c r="E26" s="6"/>
      <c r="F26" s="7">
        <f t="shared" si="0"/>
      </c>
      <c r="G26" s="7">
        <f t="shared" si="1"/>
      </c>
      <c r="H26" s="7">
        <f>IF($C26="","",IFERROR(INDEX(Impostazioni!$C$9:$C$38,MATCH($C26,Impostazioni!$B$9:$B$38,0)),"?? categoria non trovata"))</f>
      </c>
      <c r="I26"/>
    </row>
    <row r="27" spans="2:9" x14ac:dyDescent="0.3">
      <c r="B27" s="57"/>
      <c r="C27" s="5"/>
      <c r="D27" s="5"/>
      <c r="E27" s="6"/>
      <c r="F27" s="7">
        <f t="shared" si="0"/>
      </c>
      <c r="G27" s="7">
        <f t="shared" si="1"/>
      </c>
      <c r="H27" s="7">
        <f>IF($C27="","",IFERROR(INDEX(Impostazioni!$C$9:$C$38,MATCH($C27,Impostazioni!$B$9:$B$38,0)),"?? categoria non trovata"))</f>
      </c>
      <c r="I27"/>
    </row>
    <row r="28" spans="2:9" x14ac:dyDescent="0.3">
      <c r="B28" s="57"/>
      <c r="C28" s="5"/>
      <c r="D28" s="5"/>
      <c r="E28" s="6"/>
      <c r="F28" s="7">
        <f t="shared" si="0"/>
      </c>
      <c r="G28" s="7">
        <f t="shared" si="1"/>
      </c>
      <c r="H28" s="7">
        <f>IF($C28="","",IFERROR(INDEX(Impostazioni!$C$9:$C$38,MATCH($C28,Impostazioni!$B$9:$B$38,0)),"?? categoria non trovata"))</f>
      </c>
      <c r="I28"/>
    </row>
    <row r="29" spans="2:9" x14ac:dyDescent="0.3">
      <c r="B29" s="57"/>
      <c r="C29" s="5"/>
      <c r="D29" s="5"/>
      <c r="E29" s="6"/>
      <c r="F29" s="7">
        <f t="shared" si="0"/>
      </c>
      <c r="G29" s="7">
        <f t="shared" si="1"/>
      </c>
      <c r="H29" s="7">
        <f>IF($C29="","",IFERROR(INDEX(Impostazioni!$C$9:$C$38,MATCH($C29,Impostazioni!$B$9:$B$38,0)),"?? categoria non trovata"))</f>
      </c>
      <c r="I29"/>
    </row>
    <row r="30" spans="2:9" x14ac:dyDescent="0.3">
      <c r="B30" s="57"/>
      <c r="C30" s="5"/>
      <c r="D30" s="5"/>
      <c r="E30" s="6"/>
      <c r="F30" s="7">
        <f t="shared" si="0"/>
      </c>
      <c r="G30" s="7">
        <f t="shared" si="1"/>
      </c>
      <c r="H30" s="7">
        <f>IF($C30="","",IFERROR(INDEX(Impostazioni!$C$9:$C$38,MATCH($C30,Impostazioni!$B$9:$B$38,0)),"?? categoria non trovata"))</f>
      </c>
      <c r="I30"/>
    </row>
    <row r="31" spans="2:9" x14ac:dyDescent="0.3">
      <c r="B31" s="57"/>
      <c r="C31" s="5"/>
      <c r="D31" s="5"/>
      <c r="E31" s="6"/>
      <c r="F31" s="7">
        <f t="shared" si="0"/>
      </c>
      <c r="G31" s="7">
        <f t="shared" si="1"/>
      </c>
      <c r="H31" s="7">
        <f>IF($C31="","",IFERROR(INDEX(Impostazioni!$C$9:$C$38,MATCH($C31,Impostazioni!$B$9:$B$38,0)),"?? categoria non trovata"))</f>
      </c>
      <c r="I31"/>
    </row>
    <row r="32" spans="2:9" x14ac:dyDescent="0.3">
      <c r="B32" s="57"/>
      <c r="C32" s="5"/>
      <c r="D32" s="5"/>
      <c r="E32" s="6"/>
      <c r="F32" s="7">
        <f t="shared" si="0"/>
      </c>
      <c r="G32" s="7">
        <f t="shared" si="1"/>
      </c>
      <c r="H32" s="7">
        <f>IF($C32="","",IFERROR(INDEX(Impostazioni!$C$9:$C$38,MATCH($C32,Impostazioni!$B$9:$B$38,0)),"?? categoria non trovata"))</f>
      </c>
      <c r="I32"/>
    </row>
    <row r="33" spans="2:9" x14ac:dyDescent="0.3">
      <c r="B33" s="57"/>
      <c r="C33" s="5"/>
      <c r="D33" s="5"/>
      <c r="E33" s="6"/>
      <c r="F33" s="7">
        <f t="shared" si="0"/>
      </c>
      <c r="G33" s="7">
        <f t="shared" si="1"/>
      </c>
      <c r="H33" s="7">
        <f>IF($C33="","",IFERROR(INDEX(Impostazioni!$C$9:$C$38,MATCH($C33,Impostazioni!$B$9:$B$38,0)),"?? categoria non trovata"))</f>
      </c>
      <c r="I33"/>
    </row>
    <row r="34" spans="2:9" x14ac:dyDescent="0.3">
      <c r="B34" s="57"/>
      <c r="C34" s="5"/>
      <c r="D34" s="5"/>
      <c r="E34" s="6"/>
      <c r="F34" s="7">
        <f t="shared" si="0"/>
      </c>
      <c r="G34" s="7">
        <f t="shared" si="1"/>
      </c>
      <c r="H34" s="7">
        <f>IF($C34="","",IFERROR(INDEX(Impostazioni!$C$9:$C$38,MATCH($C34,Impostazioni!$B$9:$B$38,0)),"?? categoria non trovata"))</f>
      </c>
      <c r="I34"/>
    </row>
    <row r="35" spans="2:9" x14ac:dyDescent="0.3">
      <c r="B35" s="57"/>
      <c r="C35" s="5"/>
      <c r="D35" s="5"/>
      <c r="E35" s="6"/>
      <c r="F35" s="7">
        <f t="shared" si="0"/>
      </c>
      <c r="G35" s="7">
        <f t="shared" si="1"/>
      </c>
      <c r="H35" s="7">
        <f>IF($C35="","",IFERROR(INDEX(Impostazioni!$C$9:$C$38,MATCH($C35,Impostazioni!$B$9:$B$38,0)),"?? categoria non trovata"))</f>
      </c>
      <c r="I35"/>
    </row>
    <row r="36" spans="2:9" x14ac:dyDescent="0.3">
      <c r="B36" s="57"/>
      <c r="C36" s="5"/>
      <c r="D36" s="5"/>
      <c r="E36" s="6"/>
      <c r="F36" s="7">
        <f t="shared" si="0"/>
      </c>
      <c r="G36" s="7">
        <f t="shared" si="1"/>
      </c>
      <c r="H36" s="7">
        <f>IF($C36="","",IFERROR(INDEX(Impostazioni!$C$9:$C$38,MATCH($C36,Impostazioni!$B$9:$B$38,0)),"?? categoria non trovata"))</f>
      </c>
      <c r="I36"/>
    </row>
    <row r="37" spans="2:9" x14ac:dyDescent="0.3">
      <c r="B37" s="57"/>
      <c r="C37" s="5"/>
      <c r="D37" s="5"/>
      <c r="E37" s="6"/>
      <c r="F37" s="7">
        <f t="shared" si="0"/>
      </c>
      <c r="G37" s="7">
        <f t="shared" si="1"/>
      </c>
      <c r="H37" s="7">
        <f>IF($C37="","",IFERROR(INDEX(Impostazioni!$C$9:$C$38,MATCH($C37,Impostazioni!$B$9:$B$38,0)),"?? categoria non trovata"))</f>
      </c>
      <c r="I37"/>
    </row>
    <row r="38" spans="2:9" x14ac:dyDescent="0.3">
      <c r="B38" s="57"/>
      <c r="C38" s="5"/>
      <c r="D38" s="5"/>
      <c r="E38" s="6"/>
      <c r="F38" s="7">
        <f t="shared" si="0"/>
      </c>
      <c r="G38" s="7">
        <f t="shared" si="1"/>
      </c>
      <c r="H38" s="7">
        <f>IF($C38="","",IFERROR(INDEX(Impostazioni!$C$9:$C$38,MATCH($C38,Impostazioni!$B$9:$B$38,0)),"?? categoria non trovata"))</f>
      </c>
      <c r="I38"/>
    </row>
    <row r="39" spans="2:9" x14ac:dyDescent="0.3">
      <c r="B39" s="57"/>
      <c r="C39" s="5"/>
      <c r="D39" s="5"/>
      <c r="E39" s="6"/>
      <c r="F39" s="7">
        <f t="shared" si="0"/>
      </c>
      <c r="G39" s="7">
        <f t="shared" si="1"/>
      </c>
      <c r="H39" s="7">
        <f>IF($C39="","",IFERROR(INDEX(Impostazioni!$C$9:$C$38,MATCH($C39,Impostazioni!$B$9:$B$38,0)),"?? categoria non trovata"))</f>
      </c>
      <c r="I39"/>
    </row>
    <row r="40" spans="2:9" x14ac:dyDescent="0.3">
      <c r="B40" s="57"/>
      <c r="C40" s="5"/>
      <c r="D40" s="5"/>
      <c r="E40" s="6"/>
      <c r="F40" s="7">
        <f t="shared" si="0"/>
      </c>
      <c r="G40" s="7">
        <f t="shared" si="1"/>
      </c>
      <c r="H40" s="7">
        <f>IF($C40="","",IFERROR(INDEX(Impostazioni!$C$9:$C$38,MATCH($C40,Impostazioni!$B$9:$B$38,0)),"?? categoria non trovata"))</f>
      </c>
      <c r="I40"/>
    </row>
    <row r="41" spans="2:9" x14ac:dyDescent="0.3">
      <c r="B41" s="57"/>
      <c r="C41" s="5"/>
      <c r="D41" s="5"/>
      <c r="E41" s="6"/>
      <c r="F41" s="7">
        <f t="shared" si="0"/>
      </c>
      <c r="G41" s="7">
        <f t="shared" si="1"/>
      </c>
      <c r="H41" s="7">
        <f>IF($C41="","",IFERROR(INDEX(Impostazioni!$C$9:$C$38,MATCH($C41,Impostazioni!$B$9:$B$38,0)),"?? categoria non trovata"))</f>
      </c>
      <c r="I41"/>
    </row>
    <row r="42" spans="2:9" x14ac:dyDescent="0.3">
      <c r="B42" s="57"/>
      <c r="C42" s="5"/>
      <c r="D42" s="5"/>
      <c r="E42" s="6"/>
      <c r="F42" s="7">
        <f t="shared" si="0"/>
      </c>
      <c r="G42" s="7">
        <f t="shared" si="1"/>
      </c>
      <c r="H42" s="7">
        <f>IF($C42="","",IFERROR(INDEX(Impostazioni!$C$9:$C$38,MATCH($C42,Impostazioni!$B$9:$B$38,0)),"?? categoria non trovata"))</f>
      </c>
      <c r="I42"/>
    </row>
    <row r="43" spans="2:9" x14ac:dyDescent="0.3">
      <c r="B43" s="57"/>
      <c r="C43" s="5"/>
      <c r="D43" s="5"/>
      <c r="E43" s="6"/>
      <c r="F43" s="7">
        <f t="shared" si="0"/>
      </c>
      <c r="G43" s="7">
        <f t="shared" si="1"/>
      </c>
      <c r="H43" s="7">
        <f>IF($C43="","",IFERROR(INDEX(Impostazioni!$C$9:$C$38,MATCH($C43,Impostazioni!$B$9:$B$38,0)),"?? categoria non trovata"))</f>
      </c>
      <c r="I43"/>
    </row>
    <row r="44" spans="2:9" x14ac:dyDescent="0.3">
      <c r="B44" s="57"/>
      <c r="C44" s="5"/>
      <c r="D44" s="5"/>
      <c r="E44" s="6"/>
      <c r="F44" s="7">
        <f t="shared" si="0"/>
      </c>
      <c r="G44" s="7">
        <f t="shared" si="1"/>
      </c>
      <c r="H44" s="7">
        <f>IF($C44="","",IFERROR(INDEX(Impostazioni!$C$9:$C$38,MATCH($C44,Impostazioni!$B$9:$B$38,0)),"?? categoria non trovata"))</f>
      </c>
      <c r="I44"/>
    </row>
    <row r="45" spans="2:9" x14ac:dyDescent="0.3">
      <c r="B45" s="57"/>
      <c r="C45" s="5"/>
      <c r="D45" s="5"/>
      <c r="E45" s="6"/>
      <c r="F45" s="7">
        <f t="shared" si="0"/>
      </c>
      <c r="G45" s="7">
        <f t="shared" si="1"/>
      </c>
      <c r="H45" s="7">
        <f>IF($C45="","",IFERROR(INDEX(Impostazioni!$C$9:$C$38,MATCH($C45,Impostazioni!$B$9:$B$38,0)),"?? categoria non trovata"))</f>
      </c>
      <c r="I45"/>
    </row>
    <row r="46" spans="2:9" x14ac:dyDescent="0.3">
      <c r="B46" s="57"/>
      <c r="C46" s="5"/>
      <c r="D46" s="5"/>
      <c r="E46" s="6"/>
      <c r="F46" s="7">
        <f t="shared" si="0"/>
      </c>
      <c r="G46" s="7">
        <f t="shared" si="1"/>
      </c>
      <c r="H46" s="7">
        <f>IF($C46="","",IFERROR(INDEX(Impostazioni!$C$9:$C$38,MATCH($C46,Impostazioni!$B$9:$B$38,0)),"?? categoria non trovata"))</f>
      </c>
      <c r="I46"/>
    </row>
    <row r="47" spans="2:9" x14ac:dyDescent="0.3">
      <c r="B47" s="57"/>
      <c r="C47" s="5"/>
      <c r="D47" s="5"/>
      <c r="E47" s="6"/>
      <c r="F47" s="7">
        <f t="shared" si="0"/>
      </c>
      <c r="G47" s="7">
        <f t="shared" si="1"/>
      </c>
      <c r="H47" s="7">
        <f>IF($C47="","",IFERROR(INDEX(Impostazioni!$C$9:$C$38,MATCH($C47,Impostazioni!$B$9:$B$38,0)),"?? categoria non trovata"))</f>
      </c>
      <c r="I47"/>
    </row>
    <row r="48" spans="2:9" x14ac:dyDescent="0.3">
      <c r="B48" s="57"/>
      <c r="C48" s="5"/>
      <c r="D48" s="5"/>
      <c r="E48" s="6"/>
      <c r="F48" s="7">
        <f t="shared" si="0"/>
      </c>
      <c r="G48" s="7">
        <f t="shared" si="1"/>
      </c>
      <c r="H48" s="7">
        <f>IF($C48="","",IFERROR(INDEX(Impostazioni!$C$9:$C$38,MATCH($C48,Impostazioni!$B$9:$B$38,0)),"?? categoria non trovata"))</f>
      </c>
      <c r="I48"/>
    </row>
    <row r="49" spans="2:9" x14ac:dyDescent="0.3">
      <c r="B49" s="57"/>
      <c r="C49" s="5"/>
      <c r="D49" s="5"/>
      <c r="E49" s="6"/>
      <c r="F49" s="7">
        <f t="shared" si="0"/>
      </c>
      <c r="G49" s="7">
        <f t="shared" si="1"/>
      </c>
      <c r="H49" s="7">
        <f>IF($C49="","",IFERROR(INDEX(Impostazioni!$C$9:$C$38,MATCH($C49,Impostazioni!$B$9:$B$38,0)),"?? categoria non trovata"))</f>
      </c>
      <c r="I49"/>
    </row>
    <row r="50" spans="2:9" x14ac:dyDescent="0.3">
      <c r="B50" s="57"/>
      <c r="C50" s="5"/>
      <c r="D50" s="5"/>
      <c r="E50" s="6"/>
      <c r="F50" s="7">
        <f t="shared" si="0"/>
      </c>
      <c r="G50" s="7">
        <f t="shared" si="1"/>
      </c>
      <c r="H50" s="7">
        <f>IF($C50="","",IFERROR(INDEX(Impostazioni!$C$9:$C$38,MATCH($C50,Impostazioni!$B$9:$B$38,0)),"?? categoria non trovata"))</f>
      </c>
      <c r="I50"/>
    </row>
    <row r="51" spans="2:9" x14ac:dyDescent="0.3">
      <c r="B51" s="57"/>
      <c r="C51" s="5"/>
      <c r="D51" s="5"/>
      <c r="E51" s="6"/>
      <c r="F51" s="7">
        <f t="shared" si="0"/>
      </c>
      <c r="G51" s="7">
        <f t="shared" si="1"/>
      </c>
      <c r="H51" s="7">
        <f>IF($C51="","",IFERROR(INDEX(Impostazioni!$C$9:$C$38,MATCH($C51,Impostazioni!$B$9:$B$38,0)),"?? categoria non trovata"))</f>
      </c>
      <c r="I51"/>
    </row>
    <row r="52" spans="2:9" x14ac:dyDescent="0.3">
      <c r="B52" s="57"/>
      <c r="C52" s="5"/>
      <c r="D52" s="5"/>
      <c r="E52" s="6"/>
      <c r="F52" s="7">
        <f t="shared" si="0"/>
      </c>
      <c r="G52" s="7">
        <f t="shared" si="1"/>
      </c>
      <c r="H52" s="7">
        <f>IF($C52="","",IFERROR(INDEX(Impostazioni!$C$9:$C$38,MATCH($C52,Impostazioni!$B$9:$B$38,0)),"?? categoria non trovata"))</f>
      </c>
      <c r="I52"/>
    </row>
    <row r="53" spans="2:9" x14ac:dyDescent="0.3">
      <c r="B53" s="57"/>
      <c r="C53" s="5"/>
      <c r="D53" s="5"/>
      <c r="E53" s="6"/>
      <c r="F53" s="7">
        <f t="shared" si="0"/>
      </c>
      <c r="G53" s="7">
        <f t="shared" si="1"/>
      </c>
      <c r="H53" s="7">
        <f>IF($C53="","",IFERROR(INDEX(Impostazioni!$C$9:$C$38,MATCH($C53,Impostazioni!$B$9:$B$38,0)),"?? categoria non trovata"))</f>
      </c>
      <c r="I53"/>
    </row>
    <row r="54" spans="2:9" x14ac:dyDescent="0.3">
      <c r="B54" s="57"/>
      <c r="C54" s="5"/>
      <c r="D54" s="5"/>
      <c r="E54" s="6"/>
      <c r="F54" s="7">
        <f t="shared" si="0"/>
      </c>
      <c r="G54" s="7">
        <f t="shared" si="1"/>
      </c>
      <c r="H54" s="7">
        <f>IF($C54="","",IFERROR(INDEX(Impostazioni!$C$9:$C$38,MATCH($C54,Impostazioni!$B$9:$B$38,0)),"?? categoria non trovata"))</f>
      </c>
      <c r="I54"/>
    </row>
    <row r="55" spans="2:9" x14ac:dyDescent="0.3">
      <c r="B55" s="57"/>
      <c r="C55" s="5"/>
      <c r="D55" s="5"/>
      <c r="E55" s="6"/>
      <c r="F55" s="7">
        <f t="shared" si="0"/>
      </c>
      <c r="G55" s="7">
        <f t="shared" si="1"/>
      </c>
      <c r="H55" s="7">
        <f>IF($C55="","",IFERROR(INDEX(Impostazioni!$C$9:$C$38,MATCH($C55,Impostazioni!$B$9:$B$38,0)),"?? categoria non trovata"))</f>
      </c>
      <c r="I55"/>
    </row>
    <row r="56" spans="2:9" x14ac:dyDescent="0.3">
      <c r="B56" s="57"/>
      <c r="C56" s="5"/>
      <c r="D56" s="5"/>
      <c r="E56" s="6"/>
      <c r="F56" s="7">
        <f t="shared" si="0"/>
      </c>
      <c r="G56" s="7">
        <f t="shared" si="1"/>
      </c>
      <c r="H56" s="7">
        <f>IF($C56="","",IFERROR(INDEX(Impostazioni!$C$9:$C$38,MATCH($C56,Impostazioni!$B$9:$B$38,0)),"?? categoria non trovata"))</f>
      </c>
      <c r="I56"/>
    </row>
    <row r="57" spans="2:9" x14ac:dyDescent="0.3">
      <c r="B57" s="57"/>
      <c r="C57" s="5"/>
      <c r="D57" s="5"/>
      <c r="E57" s="6"/>
      <c r="F57" s="7">
        <f t="shared" si="0"/>
      </c>
      <c r="G57" s="7">
        <f t="shared" si="1"/>
      </c>
      <c r="H57" s="7">
        <f>IF($C57="","",IFERROR(INDEX(Impostazioni!$C$9:$C$38,MATCH($C57,Impostazioni!$B$9:$B$38,0)),"?? categoria non trovata"))</f>
      </c>
      <c r="I57"/>
    </row>
    <row r="58" spans="2:9" x14ac:dyDescent="0.3">
      <c r="B58" s="57"/>
      <c r="C58" s="5"/>
      <c r="D58" s="5"/>
      <c r="E58" s="6"/>
      <c r="F58" s="7">
        <f t="shared" si="0"/>
      </c>
      <c r="G58" s="7">
        <f t="shared" si="1"/>
      </c>
      <c r="H58" s="7">
        <f>IF($C58="","",IFERROR(INDEX(Impostazioni!$C$9:$C$38,MATCH($C58,Impostazioni!$B$9:$B$38,0)),"?? categoria non trovata"))</f>
      </c>
      <c r="I58"/>
    </row>
    <row r="59" spans="2:9" x14ac:dyDescent="0.3">
      <c r="B59" s="57"/>
      <c r="C59" s="5"/>
      <c r="D59" s="5"/>
      <c r="E59" s="6"/>
      <c r="F59" s="7">
        <f t="shared" si="0"/>
      </c>
      <c r="G59" s="7">
        <f t="shared" si="1"/>
      </c>
      <c r="H59" s="7">
        <f>IF($C59="","",IFERROR(INDEX(Impostazioni!$C$9:$C$38,MATCH($C59,Impostazioni!$B$9:$B$38,0)),"?? categoria non trovata"))</f>
      </c>
      <c r="I59"/>
    </row>
    <row r="60" spans="2:9" x14ac:dyDescent="0.3">
      <c r="B60" s="57"/>
      <c r="C60" s="5"/>
      <c r="D60" s="5"/>
      <c r="E60" s="6"/>
      <c r="F60" s="7">
        <f t="shared" si="0"/>
      </c>
      <c r="G60" s="7">
        <f t="shared" si="1"/>
      </c>
      <c r="H60" s="7">
        <f>IF($C60="","",IFERROR(INDEX(Impostazioni!$C$9:$C$38,MATCH($C60,Impostazioni!$B$9:$B$38,0)),"?? categoria non trovata"))</f>
      </c>
      <c r="I60"/>
    </row>
    <row r="61" spans="2:9" x14ac:dyDescent="0.3">
      <c r="B61" s="57"/>
      <c r="C61" s="5"/>
      <c r="D61" s="5"/>
      <c r="E61" s="6"/>
      <c r="F61" s="7">
        <f t="shared" si="0"/>
      </c>
      <c r="G61" s="7">
        <f t="shared" si="1"/>
      </c>
      <c r="H61" s="7">
        <f>IF($C61="","",IFERROR(INDEX(Impostazioni!$C$9:$C$38,MATCH($C61,Impostazioni!$B$9:$B$38,0)),"?? categoria non trovata"))</f>
      </c>
      <c r="I61"/>
    </row>
    <row r="62" spans="2:9" x14ac:dyDescent="0.3">
      <c r="B62" s="57"/>
      <c r="C62" s="5"/>
      <c r="D62" s="5"/>
      <c r="E62" s="6"/>
      <c r="F62" s="7">
        <f t="shared" si="0"/>
      </c>
      <c r="G62" s="7">
        <f t="shared" si="1"/>
      </c>
      <c r="H62" s="7">
        <f>IF($C62="","",IFERROR(INDEX(Impostazioni!$C$9:$C$38,MATCH($C62,Impostazioni!$B$9:$B$38,0)),"?? categoria non trovata"))</f>
      </c>
      <c r="I62"/>
    </row>
    <row r="63" spans="2:9" x14ac:dyDescent="0.3">
      <c r="B63" s="57"/>
      <c r="C63" s="5"/>
      <c r="D63" s="5"/>
      <c r="E63" s="6"/>
      <c r="F63" s="7">
        <f t="shared" si="0"/>
      </c>
      <c r="G63" s="7">
        <f t="shared" si="1"/>
      </c>
      <c r="H63" s="7">
        <f>IF($C63="","",IFERROR(INDEX(Impostazioni!$C$9:$C$38,MATCH($C63,Impostazioni!$B$9:$B$38,0)),"?? categoria non trovata"))</f>
      </c>
      <c r="I63"/>
    </row>
    <row r="64" spans="2:9" x14ac:dyDescent="0.3">
      <c r="B64" s="57"/>
      <c r="C64" s="5"/>
      <c r="D64" s="5"/>
      <c r="E64" s="6"/>
      <c r="F64" s="7">
        <f t="shared" si="0"/>
      </c>
      <c r="G64" s="7">
        <f t="shared" si="1"/>
      </c>
      <c r="H64" s="7">
        <f>IF($C64="","",IFERROR(INDEX(Impostazioni!$C$9:$C$38,MATCH($C64,Impostazioni!$B$9:$B$38,0)),"?? categoria non trovata"))</f>
      </c>
      <c r="I64"/>
    </row>
    <row r="65" spans="2:9" x14ac:dyDescent="0.3">
      <c r="B65" s="57"/>
      <c r="C65" s="5"/>
      <c r="D65" s="5"/>
      <c r="E65" s="6"/>
      <c r="F65" s="7">
        <f t="shared" si="0"/>
      </c>
      <c r="G65" s="7">
        <f t="shared" si="1"/>
      </c>
      <c r="H65" s="7">
        <f>IF($C65="","",IFERROR(INDEX(Impostazioni!$C$9:$C$38,MATCH($C65,Impostazioni!$B$9:$B$38,0)),"?? categoria non trovata"))</f>
      </c>
      <c r="I65"/>
    </row>
    <row r="66" spans="2:9" x14ac:dyDescent="0.3">
      <c r="B66" s="57"/>
      <c r="C66" s="5"/>
      <c r="D66" s="5"/>
      <c r="E66" s="6"/>
      <c r="F66" s="7">
        <f t="shared" si="0"/>
      </c>
      <c r="G66" s="7">
        <f t="shared" si="1"/>
      </c>
      <c r="H66" s="7">
        <f>IF($C66="","",IFERROR(INDEX(Impostazioni!$C$9:$C$38,MATCH($C66,Impostazioni!$B$9:$B$38,0)),"?? categoria non trovata"))</f>
      </c>
      <c r="I66"/>
    </row>
    <row r="67" spans="2:9" x14ac:dyDescent="0.3">
      <c r="B67" s="57"/>
      <c r="C67" s="5"/>
      <c r="D67" s="5"/>
      <c r="E67" s="6"/>
      <c r="F67" s="7">
        <f t="shared" si="0"/>
      </c>
      <c r="G67" s="7">
        <f t="shared" si="1"/>
      </c>
      <c r="H67" s="7">
        <f>IF($C67="","",IFERROR(INDEX(Impostazioni!$C$9:$C$38,MATCH($C67,Impostazioni!$B$9:$B$38,0)),"?? categoria non trovata"))</f>
      </c>
      <c r="I67"/>
    </row>
    <row r="68" spans="2:9" x14ac:dyDescent="0.3">
      <c r="B68" s="57"/>
      <c r="C68" s="5"/>
      <c r="D68" s="5"/>
      <c r="E68" s="6"/>
      <c r="F68" s="7">
        <f t="shared" si="0"/>
      </c>
      <c r="G68" s="7">
        <f t="shared" si="1"/>
      </c>
      <c r="H68" s="7">
        <f>IF($C68="","",IFERROR(INDEX(Impostazioni!$C$9:$C$38,MATCH($C68,Impostazioni!$B$9:$B$38,0)),"?? categoria non trovata"))</f>
      </c>
      <c r="I68"/>
    </row>
    <row r="69" spans="2:9" x14ac:dyDescent="0.3">
      <c r="B69" s="57"/>
      <c r="C69" s="5"/>
      <c r="D69" s="5"/>
      <c r="E69" s="6"/>
      <c r="F69" s="7">
        <f t="shared" ref="F69:F132" si="2">IF($B69="","",MONTH($B69))</f>
      </c>
      <c r="G69" s="7">
        <f t="shared" ref="G69:G132" si="3">IF($B69="","",YEAR($B69))</f>
      </c>
      <c r="H69" s="7">
        <f>IF($C69="","",IFERROR(INDEX(Impostazioni!$C$9:$C$38,MATCH($C69,Impostazioni!$B$9:$B$38,0)),"?? categoria non trovata"))</f>
      </c>
      <c r="I69"/>
    </row>
    <row r="70" spans="2:9" x14ac:dyDescent="0.3">
      <c r="B70" s="57"/>
      <c r="C70" s="5"/>
      <c r="D70" s="5"/>
      <c r="E70" s="6"/>
      <c r="F70" s="7">
        <f t="shared" si="2"/>
      </c>
      <c r="G70" s="7">
        <f t="shared" si="3"/>
      </c>
      <c r="H70" s="7">
        <f>IF($C70="","",IFERROR(INDEX(Impostazioni!$C$9:$C$38,MATCH($C70,Impostazioni!$B$9:$B$38,0)),"?? categoria non trovata"))</f>
      </c>
      <c r="I70"/>
    </row>
    <row r="71" spans="2:9" x14ac:dyDescent="0.3">
      <c r="B71" s="57"/>
      <c r="C71" s="5"/>
      <c r="D71" s="5"/>
      <c r="E71" s="6"/>
      <c r="F71" s="7">
        <f t="shared" si="2"/>
      </c>
      <c r="G71" s="7">
        <f t="shared" si="3"/>
      </c>
      <c r="H71" s="7">
        <f>IF($C71="","",IFERROR(INDEX(Impostazioni!$C$9:$C$38,MATCH($C71,Impostazioni!$B$9:$B$38,0)),"?? categoria non trovata"))</f>
      </c>
      <c r="I71"/>
    </row>
    <row r="72" spans="2:9" x14ac:dyDescent="0.3">
      <c r="B72" s="57"/>
      <c r="C72" s="5"/>
      <c r="D72" s="5"/>
      <c r="E72" s="6"/>
      <c r="F72" s="7">
        <f t="shared" si="2"/>
      </c>
      <c r="G72" s="7">
        <f t="shared" si="3"/>
      </c>
      <c r="H72" s="7">
        <f>IF($C72="","",IFERROR(INDEX(Impostazioni!$C$9:$C$38,MATCH($C72,Impostazioni!$B$9:$B$38,0)),"?? categoria non trovata"))</f>
      </c>
      <c r="I72"/>
    </row>
    <row r="73" spans="2:9" x14ac:dyDescent="0.3">
      <c r="B73" s="57"/>
      <c r="C73" s="5"/>
      <c r="D73" s="5"/>
      <c r="E73" s="6"/>
      <c r="F73" s="7">
        <f t="shared" si="2"/>
      </c>
      <c r="G73" s="7">
        <f t="shared" si="3"/>
      </c>
      <c r="H73" s="7">
        <f>IF($C73="","",IFERROR(INDEX(Impostazioni!$C$9:$C$38,MATCH($C73,Impostazioni!$B$9:$B$38,0)),"?? categoria non trovata"))</f>
      </c>
      <c r="I73"/>
    </row>
    <row r="74" spans="2:9" x14ac:dyDescent="0.3">
      <c r="B74" s="57"/>
      <c r="C74" s="5"/>
      <c r="D74" s="5"/>
      <c r="E74" s="6"/>
      <c r="F74" s="7">
        <f t="shared" si="2"/>
      </c>
      <c r="G74" s="7">
        <f t="shared" si="3"/>
      </c>
      <c r="H74" s="7">
        <f>IF($C74="","",IFERROR(INDEX(Impostazioni!$C$9:$C$38,MATCH($C74,Impostazioni!$B$9:$B$38,0)),"?? categoria non trovata"))</f>
      </c>
      <c r="I74"/>
    </row>
    <row r="75" spans="2:9" x14ac:dyDescent="0.3">
      <c r="B75" s="57"/>
      <c r="C75" s="5"/>
      <c r="D75" s="5"/>
      <c r="E75" s="6"/>
      <c r="F75" s="7">
        <f t="shared" si="2"/>
      </c>
      <c r="G75" s="7">
        <f t="shared" si="3"/>
      </c>
      <c r="H75" s="7">
        <f>IF($C75="","",IFERROR(INDEX(Impostazioni!$C$9:$C$38,MATCH($C75,Impostazioni!$B$9:$B$38,0)),"?? categoria non trovata"))</f>
      </c>
      <c r="I75"/>
    </row>
    <row r="76" spans="2:9" x14ac:dyDescent="0.3">
      <c r="B76" s="57"/>
      <c r="C76" s="5"/>
      <c r="D76" s="5"/>
      <c r="E76" s="6"/>
      <c r="F76" s="7">
        <f t="shared" si="2"/>
      </c>
      <c r="G76" s="7">
        <f t="shared" si="3"/>
      </c>
      <c r="H76" s="7">
        <f>IF($C76="","",IFERROR(INDEX(Impostazioni!$C$9:$C$38,MATCH($C76,Impostazioni!$B$9:$B$38,0)),"?? categoria non trovata"))</f>
      </c>
      <c r="I76"/>
    </row>
    <row r="77" spans="2:9" x14ac:dyDescent="0.3">
      <c r="B77" s="57"/>
      <c r="C77" s="5"/>
      <c r="D77" s="5"/>
      <c r="E77" s="6"/>
      <c r="F77" s="7">
        <f t="shared" si="2"/>
      </c>
      <c r="G77" s="7">
        <f t="shared" si="3"/>
      </c>
      <c r="H77" s="7">
        <f>IF($C77="","",IFERROR(INDEX(Impostazioni!$C$9:$C$38,MATCH($C77,Impostazioni!$B$9:$B$38,0)),"?? categoria non trovata"))</f>
      </c>
      <c r="I77"/>
    </row>
    <row r="78" spans="2:9" x14ac:dyDescent="0.3">
      <c r="B78" s="57"/>
      <c r="C78" s="5"/>
      <c r="D78" s="5"/>
      <c r="E78" s="6"/>
      <c r="F78" s="7">
        <f t="shared" si="2"/>
      </c>
      <c r="G78" s="7">
        <f t="shared" si="3"/>
      </c>
      <c r="H78" s="7">
        <f>IF($C78="","",IFERROR(INDEX(Impostazioni!$C$9:$C$38,MATCH($C78,Impostazioni!$B$9:$B$38,0)),"?? categoria non trovata"))</f>
      </c>
      <c r="I78"/>
    </row>
    <row r="79" spans="2:9" x14ac:dyDescent="0.3">
      <c r="B79" s="57"/>
      <c r="C79" s="5"/>
      <c r="D79" s="5"/>
      <c r="E79" s="6"/>
      <c r="F79" s="7">
        <f t="shared" si="2"/>
      </c>
      <c r="G79" s="7">
        <f t="shared" si="3"/>
      </c>
      <c r="H79" s="7">
        <f>IF($C79="","",IFERROR(INDEX(Impostazioni!$C$9:$C$38,MATCH($C79,Impostazioni!$B$9:$B$38,0)),"?? categoria non trovata"))</f>
      </c>
      <c r="I79"/>
    </row>
    <row r="80" spans="2:9" x14ac:dyDescent="0.3">
      <c r="B80" s="57"/>
      <c r="C80" s="5"/>
      <c r="D80" s="5"/>
      <c r="E80" s="6"/>
      <c r="F80" s="7">
        <f t="shared" si="2"/>
      </c>
      <c r="G80" s="7">
        <f t="shared" si="3"/>
      </c>
      <c r="H80" s="7">
        <f>IF($C80="","",IFERROR(INDEX(Impostazioni!$C$9:$C$38,MATCH($C80,Impostazioni!$B$9:$B$38,0)),"?? categoria non trovata"))</f>
      </c>
      <c r="I80"/>
    </row>
    <row r="81" spans="2:9" x14ac:dyDescent="0.3">
      <c r="B81" s="57"/>
      <c r="C81" s="5"/>
      <c r="D81" s="5"/>
      <c r="E81" s="6"/>
      <c r="F81" s="7">
        <f t="shared" si="2"/>
      </c>
      <c r="G81" s="7">
        <f t="shared" si="3"/>
      </c>
      <c r="H81" s="7">
        <f>IF($C81="","",IFERROR(INDEX(Impostazioni!$C$9:$C$38,MATCH($C81,Impostazioni!$B$9:$B$38,0)),"?? categoria non trovata"))</f>
      </c>
      <c r="I81"/>
    </row>
    <row r="82" spans="2:9" x14ac:dyDescent="0.3">
      <c r="B82" s="57"/>
      <c r="C82" s="5"/>
      <c r="D82" s="5"/>
      <c r="E82" s="6"/>
      <c r="F82" s="7">
        <f t="shared" si="2"/>
      </c>
      <c r="G82" s="7">
        <f t="shared" si="3"/>
      </c>
      <c r="H82" s="7">
        <f>IF($C82="","",IFERROR(INDEX(Impostazioni!$C$9:$C$38,MATCH($C82,Impostazioni!$B$9:$B$38,0)),"?? categoria non trovata"))</f>
      </c>
      <c r="I82"/>
    </row>
    <row r="83" spans="2:9" x14ac:dyDescent="0.3">
      <c r="B83" s="57"/>
      <c r="C83" s="5"/>
      <c r="D83" s="5"/>
      <c r="E83" s="6"/>
      <c r="F83" s="7">
        <f t="shared" si="2"/>
      </c>
      <c r="G83" s="7">
        <f t="shared" si="3"/>
      </c>
      <c r="H83" s="7">
        <f>IF($C83="","",IFERROR(INDEX(Impostazioni!$C$9:$C$38,MATCH($C83,Impostazioni!$B$9:$B$38,0)),"?? categoria non trovata"))</f>
      </c>
      <c r="I83"/>
    </row>
    <row r="84" spans="2:9" x14ac:dyDescent="0.3">
      <c r="B84" s="57"/>
      <c r="C84" s="5"/>
      <c r="D84" s="5"/>
      <c r="E84" s="6"/>
      <c r="F84" s="7">
        <f t="shared" si="2"/>
      </c>
      <c r="G84" s="7">
        <f t="shared" si="3"/>
      </c>
      <c r="H84" s="7">
        <f>IF($C84="","",IFERROR(INDEX(Impostazioni!$C$9:$C$38,MATCH($C84,Impostazioni!$B$9:$B$38,0)),"?? categoria non trovata"))</f>
      </c>
      <c r="I84"/>
    </row>
    <row r="85" spans="2:9" x14ac:dyDescent="0.3">
      <c r="B85" s="57"/>
      <c r="C85" s="5"/>
      <c r="D85" s="5"/>
      <c r="E85" s="6"/>
      <c r="F85" s="7">
        <f t="shared" si="2"/>
      </c>
      <c r="G85" s="7">
        <f t="shared" si="3"/>
      </c>
      <c r="H85" s="7">
        <f>IF($C85="","",IFERROR(INDEX(Impostazioni!$C$9:$C$38,MATCH($C85,Impostazioni!$B$9:$B$38,0)),"?? categoria non trovata"))</f>
      </c>
      <c r="I85"/>
    </row>
    <row r="86" spans="2:9" x14ac:dyDescent="0.3">
      <c r="B86" s="57"/>
      <c r="C86" s="5"/>
      <c r="D86" s="5"/>
      <c r="E86" s="6"/>
      <c r="F86" s="7">
        <f t="shared" si="2"/>
      </c>
      <c r="G86" s="7">
        <f t="shared" si="3"/>
      </c>
      <c r="H86" s="7">
        <f>IF($C86="","",IFERROR(INDEX(Impostazioni!$C$9:$C$38,MATCH($C86,Impostazioni!$B$9:$B$38,0)),"?? categoria non trovata"))</f>
      </c>
      <c r="I86"/>
    </row>
    <row r="87" spans="2:9" x14ac:dyDescent="0.3">
      <c r="B87" s="57"/>
      <c r="C87" s="5"/>
      <c r="D87" s="5"/>
      <c r="E87" s="6"/>
      <c r="F87" s="7">
        <f t="shared" si="2"/>
      </c>
      <c r="G87" s="7">
        <f t="shared" si="3"/>
      </c>
      <c r="H87" s="7">
        <f>IF($C87="","",IFERROR(INDEX(Impostazioni!$C$9:$C$38,MATCH($C87,Impostazioni!$B$9:$B$38,0)),"?? categoria non trovata"))</f>
      </c>
      <c r="I87"/>
    </row>
    <row r="88" spans="2:9" x14ac:dyDescent="0.3">
      <c r="B88" s="57"/>
      <c r="C88" s="5"/>
      <c r="D88" s="5"/>
      <c r="E88" s="6"/>
      <c r="F88" s="7">
        <f t="shared" si="2"/>
      </c>
      <c r="G88" s="7">
        <f t="shared" si="3"/>
      </c>
      <c r="H88" s="7">
        <f>IF($C88="","",IFERROR(INDEX(Impostazioni!$C$9:$C$38,MATCH($C88,Impostazioni!$B$9:$B$38,0)),"?? categoria non trovata"))</f>
      </c>
      <c r="I88"/>
    </row>
    <row r="89" spans="2:9" x14ac:dyDescent="0.3">
      <c r="B89" s="57"/>
      <c r="C89" s="5"/>
      <c r="D89" s="5"/>
      <c r="E89" s="6"/>
      <c r="F89" s="7">
        <f t="shared" si="2"/>
      </c>
      <c r="G89" s="7">
        <f t="shared" si="3"/>
      </c>
      <c r="H89" s="7">
        <f>IF($C89="","",IFERROR(INDEX(Impostazioni!$C$9:$C$38,MATCH($C89,Impostazioni!$B$9:$B$38,0)),"?? categoria non trovata"))</f>
      </c>
      <c r="I89"/>
    </row>
    <row r="90" spans="2:9" x14ac:dyDescent="0.3">
      <c r="B90" s="57"/>
      <c r="C90" s="5"/>
      <c r="D90" s="5"/>
      <c r="E90" s="6"/>
      <c r="F90" s="7">
        <f t="shared" si="2"/>
      </c>
      <c r="G90" s="7">
        <f t="shared" si="3"/>
      </c>
      <c r="H90" s="7">
        <f>IF($C90="","",IFERROR(INDEX(Impostazioni!$C$9:$C$38,MATCH($C90,Impostazioni!$B$9:$B$38,0)),"?? categoria non trovata"))</f>
      </c>
      <c r="I90"/>
    </row>
    <row r="91" spans="2:9" x14ac:dyDescent="0.3">
      <c r="B91" s="57"/>
      <c r="C91" s="5"/>
      <c r="D91" s="5"/>
      <c r="E91" s="6"/>
      <c r="F91" s="7">
        <f t="shared" si="2"/>
      </c>
      <c r="G91" s="7">
        <f t="shared" si="3"/>
      </c>
      <c r="H91" s="7">
        <f>IF($C91="","",IFERROR(INDEX(Impostazioni!$C$9:$C$38,MATCH($C91,Impostazioni!$B$9:$B$38,0)),"?? categoria non trovata"))</f>
      </c>
      <c r="I91"/>
    </row>
    <row r="92" spans="2:9" x14ac:dyDescent="0.3">
      <c r="B92" s="57"/>
      <c r="C92" s="5"/>
      <c r="D92" s="5"/>
      <c r="E92" s="6"/>
      <c r="F92" s="7">
        <f t="shared" si="2"/>
      </c>
      <c r="G92" s="7">
        <f t="shared" si="3"/>
      </c>
      <c r="H92" s="7">
        <f>IF($C92="","",IFERROR(INDEX(Impostazioni!$C$9:$C$38,MATCH($C92,Impostazioni!$B$9:$B$38,0)),"?? categoria non trovata"))</f>
      </c>
      <c r="I92"/>
    </row>
    <row r="93" spans="2:9" x14ac:dyDescent="0.3">
      <c r="B93" s="57"/>
      <c r="C93" s="5"/>
      <c r="D93" s="5"/>
      <c r="E93" s="6"/>
      <c r="F93" s="7">
        <f t="shared" si="2"/>
      </c>
      <c r="G93" s="7">
        <f t="shared" si="3"/>
      </c>
      <c r="H93" s="7">
        <f>IF($C93="","",IFERROR(INDEX(Impostazioni!$C$9:$C$38,MATCH($C93,Impostazioni!$B$9:$B$38,0)),"?? categoria non trovata"))</f>
      </c>
      <c r="I93"/>
    </row>
    <row r="94" spans="2:9" x14ac:dyDescent="0.3">
      <c r="B94" s="57"/>
      <c r="C94" s="5"/>
      <c r="D94" s="5"/>
      <c r="E94" s="6"/>
      <c r="F94" s="7">
        <f t="shared" si="2"/>
      </c>
      <c r="G94" s="7">
        <f t="shared" si="3"/>
      </c>
      <c r="H94" s="7">
        <f>IF($C94="","",IFERROR(INDEX(Impostazioni!$C$9:$C$38,MATCH($C94,Impostazioni!$B$9:$B$38,0)),"?? categoria non trovata"))</f>
      </c>
      <c r="I94"/>
    </row>
    <row r="95" spans="2:9" x14ac:dyDescent="0.3">
      <c r="B95" s="57"/>
      <c r="C95" s="5"/>
      <c r="D95" s="5"/>
      <c r="E95" s="6"/>
      <c r="F95" s="7">
        <f t="shared" si="2"/>
      </c>
      <c r="G95" s="7">
        <f t="shared" si="3"/>
      </c>
      <c r="H95" s="7">
        <f>IF($C95="","",IFERROR(INDEX(Impostazioni!$C$9:$C$38,MATCH($C95,Impostazioni!$B$9:$B$38,0)),"?? categoria non trovata"))</f>
      </c>
      <c r="I95"/>
    </row>
    <row r="96" spans="2:9" x14ac:dyDescent="0.3">
      <c r="B96" s="57"/>
      <c r="C96" s="5"/>
      <c r="D96" s="5"/>
      <c r="E96" s="6"/>
      <c r="F96" s="7">
        <f t="shared" si="2"/>
      </c>
      <c r="G96" s="7">
        <f t="shared" si="3"/>
      </c>
      <c r="H96" s="7">
        <f>IF($C96="","",IFERROR(INDEX(Impostazioni!$C$9:$C$38,MATCH($C96,Impostazioni!$B$9:$B$38,0)),"?? categoria non trovata"))</f>
      </c>
      <c r="I96"/>
    </row>
    <row r="97" spans="2:9" x14ac:dyDescent="0.3">
      <c r="B97" s="57"/>
      <c r="C97" s="5"/>
      <c r="D97" s="5"/>
      <c r="E97" s="6"/>
      <c r="F97" s="7">
        <f t="shared" si="2"/>
      </c>
      <c r="G97" s="7">
        <f t="shared" si="3"/>
      </c>
      <c r="H97" s="7">
        <f>IF($C97="","",IFERROR(INDEX(Impostazioni!$C$9:$C$38,MATCH($C97,Impostazioni!$B$9:$B$38,0)),"?? categoria non trovata"))</f>
      </c>
      <c r="I97"/>
    </row>
    <row r="98" spans="2:9" x14ac:dyDescent="0.3">
      <c r="B98" s="57"/>
      <c r="C98" s="5"/>
      <c r="D98" s="5"/>
      <c r="E98" s="6"/>
      <c r="F98" s="7">
        <f t="shared" si="2"/>
      </c>
      <c r="G98" s="7">
        <f t="shared" si="3"/>
      </c>
      <c r="H98" s="7">
        <f>IF($C98="","",IFERROR(INDEX(Impostazioni!$C$9:$C$38,MATCH($C98,Impostazioni!$B$9:$B$38,0)),"?? categoria non trovata"))</f>
      </c>
      <c r="I98"/>
    </row>
    <row r="99" spans="2:9" x14ac:dyDescent="0.3">
      <c r="B99" s="57"/>
      <c r="C99" s="5"/>
      <c r="D99" s="5"/>
      <c r="E99" s="6"/>
      <c r="F99" s="7">
        <f t="shared" si="2"/>
      </c>
      <c r="G99" s="7">
        <f t="shared" si="3"/>
      </c>
      <c r="H99" s="7">
        <f>IF($C99="","",IFERROR(INDEX(Impostazioni!$C$9:$C$38,MATCH($C99,Impostazioni!$B$9:$B$38,0)),"?? categoria non trovata"))</f>
      </c>
      <c r="I99"/>
    </row>
    <row r="100" spans="2:9" x14ac:dyDescent="0.3">
      <c r="B100" s="57"/>
      <c r="C100" s="5"/>
      <c r="D100" s="5"/>
      <c r="E100" s="6"/>
      <c r="F100" s="7">
        <f t="shared" si="2"/>
      </c>
      <c r="G100" s="7">
        <f t="shared" si="3"/>
      </c>
      <c r="H100" s="7">
        <f>IF($C100="","",IFERROR(INDEX(Impostazioni!$C$9:$C$38,MATCH($C100,Impostazioni!$B$9:$B$38,0)),"?? categoria non trovata"))</f>
      </c>
      <c r="I100"/>
    </row>
    <row r="101" spans="2:9" x14ac:dyDescent="0.3">
      <c r="B101" s="57"/>
      <c r="C101" s="5"/>
      <c r="D101" s="5"/>
      <c r="E101" s="6"/>
      <c r="F101" s="7">
        <f t="shared" si="2"/>
      </c>
      <c r="G101" s="7">
        <f t="shared" si="3"/>
      </c>
      <c r="H101" s="7">
        <f>IF($C101="","",IFERROR(INDEX(Impostazioni!$C$9:$C$38,MATCH($C101,Impostazioni!$B$9:$B$38,0)),"?? categoria non trovata"))</f>
      </c>
      <c r="I101"/>
    </row>
    <row r="102" spans="2:9" x14ac:dyDescent="0.3">
      <c r="B102" s="57"/>
      <c r="C102" s="5"/>
      <c r="D102" s="5"/>
      <c r="E102" s="6"/>
      <c r="F102" s="7">
        <f t="shared" si="2"/>
      </c>
      <c r="G102" s="7">
        <f t="shared" si="3"/>
      </c>
      <c r="H102" s="7">
        <f>IF($C102="","",IFERROR(INDEX(Impostazioni!$C$9:$C$38,MATCH($C102,Impostazioni!$B$9:$B$38,0)),"?? categoria non trovata"))</f>
      </c>
      <c r="I102"/>
    </row>
    <row r="103" spans="2:9" x14ac:dyDescent="0.3">
      <c r="B103" s="57"/>
      <c r="C103" s="5"/>
      <c r="D103" s="5"/>
      <c r="E103" s="6"/>
      <c r="F103" s="7">
        <f t="shared" si="2"/>
      </c>
      <c r="G103" s="7">
        <f t="shared" si="3"/>
      </c>
      <c r="H103" s="7">
        <f>IF($C103="","",IFERROR(INDEX(Impostazioni!$C$9:$C$38,MATCH($C103,Impostazioni!$B$9:$B$38,0)),"?? categoria non trovata"))</f>
      </c>
      <c r="I103"/>
    </row>
    <row r="104" spans="2:9" x14ac:dyDescent="0.3">
      <c r="B104" s="57"/>
      <c r="C104" s="5"/>
      <c r="D104" s="5"/>
      <c r="E104" s="6"/>
      <c r="F104" s="7">
        <f t="shared" si="2"/>
      </c>
      <c r="G104" s="7">
        <f t="shared" si="3"/>
      </c>
      <c r="H104" s="7">
        <f>IF($C104="","",IFERROR(INDEX(Impostazioni!$C$9:$C$38,MATCH($C104,Impostazioni!$B$9:$B$38,0)),"?? categoria non trovata"))</f>
      </c>
      <c r="I104"/>
    </row>
    <row r="105" spans="2:9" x14ac:dyDescent="0.3">
      <c r="B105" s="57"/>
      <c r="C105" s="5"/>
      <c r="D105" s="5"/>
      <c r="E105" s="6"/>
      <c r="F105" s="7">
        <f t="shared" si="2"/>
      </c>
      <c r="G105" s="7">
        <f t="shared" si="3"/>
      </c>
      <c r="H105" s="7">
        <f>IF($C105="","",IFERROR(INDEX(Impostazioni!$C$9:$C$38,MATCH($C105,Impostazioni!$B$9:$B$38,0)),"?? categoria non trovata"))</f>
      </c>
      <c r="I105"/>
    </row>
    <row r="106" spans="2:9" x14ac:dyDescent="0.3">
      <c r="B106" s="57"/>
      <c r="C106" s="5"/>
      <c r="D106" s="5"/>
      <c r="E106" s="6"/>
      <c r="F106" s="7">
        <f t="shared" si="2"/>
      </c>
      <c r="G106" s="7">
        <f t="shared" si="3"/>
      </c>
      <c r="H106" s="7">
        <f>IF($C106="","",IFERROR(INDEX(Impostazioni!$C$9:$C$38,MATCH($C106,Impostazioni!$B$9:$B$38,0)),"?? categoria non trovata"))</f>
      </c>
      <c r="I106"/>
    </row>
    <row r="107" spans="2:9" x14ac:dyDescent="0.3">
      <c r="B107" s="57"/>
      <c r="C107" s="5"/>
      <c r="D107" s="5"/>
      <c r="E107" s="6"/>
      <c r="F107" s="7">
        <f t="shared" si="2"/>
      </c>
      <c r="G107" s="7">
        <f t="shared" si="3"/>
      </c>
      <c r="H107" s="7">
        <f>IF($C107="","",IFERROR(INDEX(Impostazioni!$C$9:$C$38,MATCH($C107,Impostazioni!$B$9:$B$38,0)),"?? categoria non trovata"))</f>
      </c>
      <c r="I107"/>
    </row>
    <row r="108" spans="2:9" x14ac:dyDescent="0.3">
      <c r="B108" s="57"/>
      <c r="C108" s="5"/>
      <c r="D108" s="5"/>
      <c r="E108" s="6"/>
      <c r="F108" s="7">
        <f t="shared" si="2"/>
      </c>
      <c r="G108" s="7">
        <f t="shared" si="3"/>
      </c>
      <c r="H108" s="7">
        <f>IF($C108="","",IFERROR(INDEX(Impostazioni!$C$9:$C$38,MATCH($C108,Impostazioni!$B$9:$B$38,0)),"?? categoria non trovata"))</f>
      </c>
      <c r="I108"/>
    </row>
    <row r="109" spans="2:9" x14ac:dyDescent="0.3">
      <c r="B109" s="57"/>
      <c r="C109" s="5"/>
      <c r="D109" s="5"/>
      <c r="E109" s="6"/>
      <c r="F109" s="7">
        <f t="shared" si="2"/>
      </c>
      <c r="G109" s="7">
        <f t="shared" si="3"/>
      </c>
      <c r="H109" s="7">
        <f>IF($C109="","",IFERROR(INDEX(Impostazioni!$C$9:$C$38,MATCH($C109,Impostazioni!$B$9:$B$38,0)),"?? categoria non trovata"))</f>
      </c>
      <c r="I109"/>
    </row>
    <row r="110" spans="2:9" x14ac:dyDescent="0.3">
      <c r="B110" s="57"/>
      <c r="C110" s="5"/>
      <c r="D110" s="5"/>
      <c r="E110" s="6"/>
      <c r="F110" s="7">
        <f t="shared" si="2"/>
      </c>
      <c r="G110" s="7">
        <f t="shared" si="3"/>
      </c>
      <c r="H110" s="7">
        <f>IF($C110="","",IFERROR(INDEX(Impostazioni!$C$9:$C$38,MATCH($C110,Impostazioni!$B$9:$B$38,0)),"?? categoria non trovata"))</f>
      </c>
      <c r="I110"/>
    </row>
    <row r="111" spans="2:9" x14ac:dyDescent="0.3">
      <c r="B111" s="57"/>
      <c r="C111" s="5"/>
      <c r="D111" s="5"/>
      <c r="E111" s="6"/>
      <c r="F111" s="7">
        <f t="shared" si="2"/>
      </c>
      <c r="G111" s="7">
        <f t="shared" si="3"/>
      </c>
      <c r="H111" s="7">
        <f>IF($C111="","",IFERROR(INDEX(Impostazioni!$C$9:$C$38,MATCH($C111,Impostazioni!$B$9:$B$38,0)),"?? categoria non trovata"))</f>
      </c>
      <c r="I111"/>
    </row>
    <row r="112" spans="2:9" x14ac:dyDescent="0.3">
      <c r="B112" s="57"/>
      <c r="C112" s="5"/>
      <c r="D112" s="5"/>
      <c r="E112" s="6"/>
      <c r="F112" s="7">
        <f t="shared" si="2"/>
      </c>
      <c r="G112" s="7">
        <f t="shared" si="3"/>
      </c>
      <c r="H112" s="7">
        <f>IF($C112="","",IFERROR(INDEX(Impostazioni!$C$9:$C$38,MATCH($C112,Impostazioni!$B$9:$B$38,0)),"?? categoria non trovata"))</f>
      </c>
      <c r="I112"/>
    </row>
    <row r="113" spans="2:9" x14ac:dyDescent="0.3">
      <c r="B113" s="57"/>
      <c r="C113" s="5"/>
      <c r="D113" s="5"/>
      <c r="E113" s="6"/>
      <c r="F113" s="7">
        <f t="shared" si="2"/>
      </c>
      <c r="G113" s="7">
        <f t="shared" si="3"/>
      </c>
      <c r="H113" s="7">
        <f>IF($C113="","",IFERROR(INDEX(Impostazioni!$C$9:$C$38,MATCH($C113,Impostazioni!$B$9:$B$38,0)),"?? categoria non trovata"))</f>
      </c>
      <c r="I113"/>
    </row>
    <row r="114" spans="2:9" x14ac:dyDescent="0.3">
      <c r="B114" s="57"/>
      <c r="C114" s="5"/>
      <c r="D114" s="5"/>
      <c r="E114" s="6"/>
      <c r="F114" s="7">
        <f t="shared" si="2"/>
      </c>
      <c r="G114" s="7">
        <f t="shared" si="3"/>
      </c>
      <c r="H114" s="7">
        <f>IF($C114="","",IFERROR(INDEX(Impostazioni!$C$9:$C$38,MATCH($C114,Impostazioni!$B$9:$B$38,0)),"?? categoria non trovata"))</f>
      </c>
      <c r="I114"/>
    </row>
    <row r="115" spans="2:9" x14ac:dyDescent="0.3">
      <c r="B115" s="57"/>
      <c r="C115" s="5"/>
      <c r="D115" s="5"/>
      <c r="E115" s="6"/>
      <c r="F115" s="7">
        <f t="shared" si="2"/>
      </c>
      <c r="G115" s="7">
        <f t="shared" si="3"/>
      </c>
      <c r="H115" s="7">
        <f>IF($C115="","",IFERROR(INDEX(Impostazioni!$C$9:$C$38,MATCH($C115,Impostazioni!$B$9:$B$38,0)),"?? categoria non trovata"))</f>
      </c>
      <c r="I115"/>
    </row>
    <row r="116" spans="2:9" x14ac:dyDescent="0.3">
      <c r="B116" s="57"/>
      <c r="C116" s="5"/>
      <c r="D116" s="5"/>
      <c r="E116" s="6"/>
      <c r="F116" s="7">
        <f t="shared" si="2"/>
      </c>
      <c r="G116" s="7">
        <f t="shared" si="3"/>
      </c>
      <c r="H116" s="7">
        <f>IF($C116="","",IFERROR(INDEX(Impostazioni!$C$9:$C$38,MATCH($C116,Impostazioni!$B$9:$B$38,0)),"?? categoria non trovata"))</f>
      </c>
      <c r="I116"/>
    </row>
    <row r="117" spans="2:9" x14ac:dyDescent="0.3">
      <c r="B117" s="57"/>
      <c r="C117" s="5"/>
      <c r="D117" s="5"/>
      <c r="E117" s="6"/>
      <c r="F117" s="7">
        <f t="shared" si="2"/>
      </c>
      <c r="G117" s="7">
        <f t="shared" si="3"/>
      </c>
      <c r="H117" s="7">
        <f>IF($C117="","",IFERROR(INDEX(Impostazioni!$C$9:$C$38,MATCH($C117,Impostazioni!$B$9:$B$38,0)),"?? categoria non trovata"))</f>
      </c>
      <c r="I117"/>
    </row>
    <row r="118" spans="2:9" x14ac:dyDescent="0.3">
      <c r="B118" s="57"/>
      <c r="C118" s="5"/>
      <c r="D118" s="5"/>
      <c r="E118" s="6"/>
      <c r="F118" s="7">
        <f t="shared" si="2"/>
      </c>
      <c r="G118" s="7">
        <f t="shared" si="3"/>
      </c>
      <c r="H118" s="7">
        <f>IF($C118="","",IFERROR(INDEX(Impostazioni!$C$9:$C$38,MATCH($C118,Impostazioni!$B$9:$B$38,0)),"?? categoria non trovata"))</f>
      </c>
      <c r="I118"/>
    </row>
    <row r="119" spans="2:9" x14ac:dyDescent="0.3">
      <c r="B119" s="57"/>
      <c r="C119" s="5"/>
      <c r="D119" s="5"/>
      <c r="E119" s="6"/>
      <c r="F119" s="7">
        <f t="shared" si="2"/>
      </c>
      <c r="G119" s="7">
        <f t="shared" si="3"/>
      </c>
      <c r="H119" s="7">
        <f>IF($C119="","",IFERROR(INDEX(Impostazioni!$C$9:$C$38,MATCH($C119,Impostazioni!$B$9:$B$38,0)),"?? categoria non trovata"))</f>
      </c>
      <c r="I119"/>
    </row>
    <row r="120" spans="2:9" x14ac:dyDescent="0.3">
      <c r="B120" s="57"/>
      <c r="C120" s="5"/>
      <c r="D120" s="5"/>
      <c r="E120" s="6"/>
      <c r="F120" s="7">
        <f t="shared" si="2"/>
      </c>
      <c r="G120" s="7">
        <f t="shared" si="3"/>
      </c>
      <c r="H120" s="7">
        <f>IF($C120="","",IFERROR(INDEX(Impostazioni!$C$9:$C$38,MATCH($C120,Impostazioni!$B$9:$B$38,0)),"?? categoria non trovata"))</f>
      </c>
      <c r="I120"/>
    </row>
    <row r="121" spans="2:9" x14ac:dyDescent="0.3">
      <c r="B121" s="57"/>
      <c r="C121" s="5"/>
      <c r="D121" s="5"/>
      <c r="E121" s="6"/>
      <c r="F121" s="7">
        <f t="shared" si="2"/>
      </c>
      <c r="G121" s="7">
        <f t="shared" si="3"/>
      </c>
      <c r="H121" s="7">
        <f>IF($C121="","",IFERROR(INDEX(Impostazioni!$C$9:$C$38,MATCH($C121,Impostazioni!$B$9:$B$38,0)),"?? categoria non trovata"))</f>
      </c>
      <c r="I121"/>
    </row>
    <row r="122" spans="2:9" x14ac:dyDescent="0.3">
      <c r="B122" s="57"/>
      <c r="C122" s="5"/>
      <c r="D122" s="5"/>
      <c r="E122" s="6"/>
      <c r="F122" s="7">
        <f t="shared" si="2"/>
      </c>
      <c r="G122" s="7">
        <f t="shared" si="3"/>
      </c>
      <c r="H122" s="7">
        <f>IF($C122="","",IFERROR(INDEX(Impostazioni!$C$9:$C$38,MATCH($C122,Impostazioni!$B$9:$B$38,0)),"?? categoria non trovata"))</f>
      </c>
      <c r="I122"/>
    </row>
    <row r="123" spans="2:9" x14ac:dyDescent="0.3">
      <c r="B123" s="57"/>
      <c r="C123" s="5"/>
      <c r="D123" s="5"/>
      <c r="E123" s="6"/>
      <c r="F123" s="7">
        <f t="shared" si="2"/>
      </c>
      <c r="G123" s="7">
        <f t="shared" si="3"/>
      </c>
      <c r="H123" s="7">
        <f>IF($C123="","",IFERROR(INDEX(Impostazioni!$C$9:$C$38,MATCH($C123,Impostazioni!$B$9:$B$38,0)),"?? categoria non trovata"))</f>
      </c>
      <c r="I123"/>
    </row>
    <row r="124" spans="2:9" x14ac:dyDescent="0.3">
      <c r="B124" s="57"/>
      <c r="C124" s="5"/>
      <c r="D124" s="5"/>
      <c r="E124" s="6"/>
      <c r="F124" s="7">
        <f t="shared" si="2"/>
      </c>
      <c r="G124" s="7">
        <f t="shared" si="3"/>
      </c>
      <c r="H124" s="7">
        <f>IF($C124="","",IFERROR(INDEX(Impostazioni!$C$9:$C$38,MATCH($C124,Impostazioni!$B$9:$B$38,0)),"?? categoria non trovata"))</f>
      </c>
      <c r="I124"/>
    </row>
    <row r="125" spans="2:9" x14ac:dyDescent="0.3">
      <c r="B125" s="57"/>
      <c r="C125" s="5"/>
      <c r="D125" s="5"/>
      <c r="E125" s="6"/>
      <c r="F125" s="7">
        <f t="shared" si="2"/>
      </c>
      <c r="G125" s="7">
        <f t="shared" si="3"/>
      </c>
      <c r="H125" s="7">
        <f>IF($C125="","",IFERROR(INDEX(Impostazioni!$C$9:$C$38,MATCH($C125,Impostazioni!$B$9:$B$38,0)),"?? categoria non trovata"))</f>
      </c>
      <c r="I125"/>
    </row>
    <row r="126" spans="2:9" x14ac:dyDescent="0.3">
      <c r="B126" s="57"/>
      <c r="C126" s="5"/>
      <c r="D126" s="5"/>
      <c r="E126" s="6"/>
      <c r="F126" s="7">
        <f t="shared" si="2"/>
      </c>
      <c r="G126" s="7">
        <f t="shared" si="3"/>
      </c>
      <c r="H126" s="7">
        <f>IF($C126="","",IFERROR(INDEX(Impostazioni!$C$9:$C$38,MATCH($C126,Impostazioni!$B$9:$B$38,0)),"?? categoria non trovata"))</f>
      </c>
      <c r="I126"/>
    </row>
    <row r="127" spans="2:9" x14ac:dyDescent="0.3">
      <c r="B127" s="57"/>
      <c r="C127" s="5"/>
      <c r="D127" s="5"/>
      <c r="E127" s="6"/>
      <c r="F127" s="7">
        <f t="shared" si="2"/>
      </c>
      <c r="G127" s="7">
        <f t="shared" si="3"/>
      </c>
      <c r="H127" s="7">
        <f>IF($C127="","",IFERROR(INDEX(Impostazioni!$C$9:$C$38,MATCH($C127,Impostazioni!$B$9:$B$38,0)),"?? categoria non trovata"))</f>
      </c>
      <c r="I127"/>
    </row>
    <row r="128" spans="2:9" x14ac:dyDescent="0.3">
      <c r="B128" s="57"/>
      <c r="C128" s="5"/>
      <c r="D128" s="5"/>
      <c r="E128" s="6"/>
      <c r="F128" s="7">
        <f t="shared" si="2"/>
      </c>
      <c r="G128" s="7">
        <f t="shared" si="3"/>
      </c>
      <c r="H128" s="7">
        <f>IF($C128="","",IFERROR(INDEX(Impostazioni!$C$9:$C$38,MATCH($C128,Impostazioni!$B$9:$B$38,0)),"?? categoria non trovata"))</f>
      </c>
      <c r="I128"/>
    </row>
    <row r="129" spans="2:9" x14ac:dyDescent="0.3">
      <c r="B129" s="57"/>
      <c r="C129" s="5"/>
      <c r="D129" s="5"/>
      <c r="E129" s="6"/>
      <c r="F129" s="7">
        <f t="shared" si="2"/>
      </c>
      <c r="G129" s="7">
        <f t="shared" si="3"/>
      </c>
      <c r="H129" s="7">
        <f>IF($C129="","",IFERROR(INDEX(Impostazioni!$C$9:$C$38,MATCH($C129,Impostazioni!$B$9:$B$38,0)),"?? categoria non trovata"))</f>
      </c>
      <c r="I129"/>
    </row>
    <row r="130" spans="2:9" x14ac:dyDescent="0.3">
      <c r="B130" s="57"/>
      <c r="C130" s="5"/>
      <c r="D130" s="5"/>
      <c r="E130" s="6"/>
      <c r="F130" s="7">
        <f t="shared" si="2"/>
      </c>
      <c r="G130" s="7">
        <f t="shared" si="3"/>
      </c>
      <c r="H130" s="7">
        <f>IF($C130="","",IFERROR(INDEX(Impostazioni!$C$9:$C$38,MATCH($C130,Impostazioni!$B$9:$B$38,0)),"?? categoria non trovata"))</f>
      </c>
      <c r="I130"/>
    </row>
    <row r="131" spans="2:9" x14ac:dyDescent="0.3">
      <c r="B131" s="57"/>
      <c r="C131" s="5"/>
      <c r="D131" s="5"/>
      <c r="E131" s="6"/>
      <c r="F131" s="7">
        <f t="shared" si="2"/>
      </c>
      <c r="G131" s="7">
        <f t="shared" si="3"/>
      </c>
      <c r="H131" s="7">
        <f>IF($C131="","",IFERROR(INDEX(Impostazioni!$C$9:$C$38,MATCH($C131,Impostazioni!$B$9:$B$38,0)),"?? categoria non trovata"))</f>
      </c>
      <c r="I131"/>
    </row>
    <row r="132" spans="2:9" x14ac:dyDescent="0.3">
      <c r="B132" s="57"/>
      <c r="C132" s="5"/>
      <c r="D132" s="5"/>
      <c r="E132" s="6"/>
      <c r="F132" s="7">
        <f t="shared" si="2"/>
      </c>
      <c r="G132" s="7">
        <f t="shared" si="3"/>
      </c>
      <c r="H132" s="7">
        <f>IF($C132="","",IFERROR(INDEX(Impostazioni!$C$9:$C$38,MATCH($C132,Impostazioni!$B$9:$B$38,0)),"?? categoria non trovata"))</f>
      </c>
      <c r="I132"/>
    </row>
    <row r="133" spans="2:9" x14ac:dyDescent="0.3">
      <c r="B133" s="57"/>
      <c r="C133" s="5"/>
      <c r="D133" s="5"/>
      <c r="E133" s="6"/>
      <c r="F133" s="7">
        <f t="shared" ref="F133:F196" si="4">IF($B133="","",MONTH($B133))</f>
      </c>
      <c r="G133" s="7">
        <f t="shared" ref="G133:G196" si="5">IF($B133="","",YEAR($B133))</f>
      </c>
      <c r="H133" s="7">
        <f>IF($C133="","",IFERROR(INDEX(Impostazioni!$C$9:$C$38,MATCH($C133,Impostazioni!$B$9:$B$38,0)),"?? categoria non trovata"))</f>
      </c>
      <c r="I133"/>
    </row>
    <row r="134" spans="2:9" x14ac:dyDescent="0.3">
      <c r="B134" s="57"/>
      <c r="C134" s="5"/>
      <c r="D134" s="5"/>
      <c r="E134" s="6"/>
      <c r="F134" s="7">
        <f t="shared" si="4"/>
      </c>
      <c r="G134" s="7">
        <f t="shared" si="5"/>
      </c>
      <c r="H134" s="7">
        <f>IF($C134="","",IFERROR(INDEX(Impostazioni!$C$9:$C$38,MATCH($C134,Impostazioni!$B$9:$B$38,0)),"?? categoria non trovata"))</f>
      </c>
      <c r="I134"/>
    </row>
    <row r="135" spans="2:9" x14ac:dyDescent="0.3">
      <c r="B135" s="57"/>
      <c r="C135" s="5"/>
      <c r="D135" s="5"/>
      <c r="E135" s="6"/>
      <c r="F135" s="7">
        <f t="shared" si="4"/>
      </c>
      <c r="G135" s="7">
        <f t="shared" si="5"/>
      </c>
      <c r="H135" s="7">
        <f>IF($C135="","",IFERROR(INDEX(Impostazioni!$C$9:$C$38,MATCH($C135,Impostazioni!$B$9:$B$38,0)),"?? categoria non trovata"))</f>
      </c>
      <c r="I135"/>
    </row>
    <row r="136" spans="2:9" x14ac:dyDescent="0.3">
      <c r="B136" s="57"/>
      <c r="C136" s="5"/>
      <c r="D136" s="5"/>
      <c r="E136" s="6"/>
      <c r="F136" s="7">
        <f t="shared" si="4"/>
      </c>
      <c r="G136" s="7">
        <f t="shared" si="5"/>
      </c>
      <c r="H136" s="7">
        <f>IF($C136="","",IFERROR(INDEX(Impostazioni!$C$9:$C$38,MATCH($C136,Impostazioni!$B$9:$B$38,0)),"?? categoria non trovata"))</f>
      </c>
      <c r="I136"/>
    </row>
    <row r="137" spans="2:9" x14ac:dyDescent="0.3">
      <c r="B137" s="57"/>
      <c r="C137" s="5"/>
      <c r="D137" s="5"/>
      <c r="E137" s="6"/>
      <c r="F137" s="7">
        <f t="shared" si="4"/>
      </c>
      <c r="G137" s="7">
        <f t="shared" si="5"/>
      </c>
      <c r="H137" s="7">
        <f>IF($C137="","",IFERROR(INDEX(Impostazioni!$C$9:$C$38,MATCH($C137,Impostazioni!$B$9:$B$38,0)),"?? categoria non trovata"))</f>
      </c>
      <c r="I137"/>
    </row>
    <row r="138" spans="2:9" x14ac:dyDescent="0.3">
      <c r="B138" s="57"/>
      <c r="C138" s="5"/>
      <c r="D138" s="5"/>
      <c r="E138" s="6"/>
      <c r="F138" s="7">
        <f t="shared" si="4"/>
      </c>
      <c r="G138" s="7">
        <f t="shared" si="5"/>
      </c>
      <c r="H138" s="7">
        <f>IF($C138="","",IFERROR(INDEX(Impostazioni!$C$9:$C$38,MATCH($C138,Impostazioni!$B$9:$B$38,0)),"?? categoria non trovata"))</f>
      </c>
      <c r="I138"/>
    </row>
    <row r="139" spans="2:9" x14ac:dyDescent="0.3">
      <c r="B139" s="57"/>
      <c r="C139" s="5"/>
      <c r="D139" s="5"/>
      <c r="E139" s="6"/>
      <c r="F139" s="7">
        <f t="shared" si="4"/>
      </c>
      <c r="G139" s="7">
        <f t="shared" si="5"/>
      </c>
      <c r="H139" s="7">
        <f>IF($C139="","",IFERROR(INDEX(Impostazioni!$C$9:$C$38,MATCH($C139,Impostazioni!$B$9:$B$38,0)),"?? categoria non trovata"))</f>
      </c>
      <c r="I139"/>
    </row>
    <row r="140" spans="2:9" x14ac:dyDescent="0.3">
      <c r="B140" s="57"/>
      <c r="C140" s="5"/>
      <c r="D140" s="5"/>
      <c r="E140" s="6"/>
      <c r="F140" s="7">
        <f t="shared" si="4"/>
      </c>
      <c r="G140" s="7">
        <f t="shared" si="5"/>
      </c>
      <c r="H140" s="7">
        <f>IF($C140="","",IFERROR(INDEX(Impostazioni!$C$9:$C$38,MATCH($C140,Impostazioni!$B$9:$B$38,0)),"?? categoria non trovata"))</f>
      </c>
      <c r="I140"/>
    </row>
    <row r="141" spans="2:9" x14ac:dyDescent="0.3">
      <c r="B141" s="57"/>
      <c r="C141" s="5"/>
      <c r="D141" s="5"/>
      <c r="E141" s="6"/>
      <c r="F141" s="7">
        <f t="shared" si="4"/>
      </c>
      <c r="G141" s="7">
        <f t="shared" si="5"/>
      </c>
      <c r="H141" s="7">
        <f>IF($C141="","",IFERROR(INDEX(Impostazioni!$C$9:$C$38,MATCH($C141,Impostazioni!$B$9:$B$38,0)),"?? categoria non trovata"))</f>
      </c>
      <c r="I141"/>
    </row>
    <row r="142" spans="2:9" x14ac:dyDescent="0.3">
      <c r="B142" s="57"/>
      <c r="C142" s="5"/>
      <c r="D142" s="5"/>
      <c r="E142" s="6"/>
      <c r="F142" s="7">
        <f t="shared" si="4"/>
      </c>
      <c r="G142" s="7">
        <f t="shared" si="5"/>
      </c>
      <c r="H142" s="7">
        <f>IF($C142="","",IFERROR(INDEX(Impostazioni!$C$9:$C$38,MATCH($C142,Impostazioni!$B$9:$B$38,0)),"?? categoria non trovata"))</f>
      </c>
      <c r="I142"/>
    </row>
    <row r="143" spans="2:9" x14ac:dyDescent="0.3">
      <c r="B143" s="57"/>
      <c r="C143" s="5"/>
      <c r="D143" s="5"/>
      <c r="E143" s="6"/>
      <c r="F143" s="7">
        <f t="shared" si="4"/>
      </c>
      <c r="G143" s="7">
        <f t="shared" si="5"/>
      </c>
      <c r="H143" s="7">
        <f>IF($C143="","",IFERROR(INDEX(Impostazioni!$C$9:$C$38,MATCH($C143,Impostazioni!$B$9:$B$38,0)),"?? categoria non trovata"))</f>
      </c>
      <c r="I143"/>
    </row>
    <row r="144" spans="2:9" x14ac:dyDescent="0.3">
      <c r="B144" s="57"/>
      <c r="C144" s="5"/>
      <c r="D144" s="5"/>
      <c r="E144" s="6"/>
      <c r="F144" s="7">
        <f t="shared" si="4"/>
      </c>
      <c r="G144" s="7">
        <f t="shared" si="5"/>
      </c>
      <c r="H144" s="7">
        <f>IF($C144="","",IFERROR(INDEX(Impostazioni!$C$9:$C$38,MATCH($C144,Impostazioni!$B$9:$B$38,0)),"?? categoria non trovata"))</f>
      </c>
      <c r="I144"/>
    </row>
    <row r="145" spans="2:9" x14ac:dyDescent="0.3">
      <c r="B145" s="57"/>
      <c r="C145" s="5"/>
      <c r="D145" s="5"/>
      <c r="E145" s="6"/>
      <c r="F145" s="7">
        <f t="shared" si="4"/>
      </c>
      <c r="G145" s="7">
        <f t="shared" si="5"/>
      </c>
      <c r="H145" s="7">
        <f>IF($C145="","",IFERROR(INDEX(Impostazioni!$C$9:$C$38,MATCH($C145,Impostazioni!$B$9:$B$38,0)),"?? categoria non trovata"))</f>
      </c>
      <c r="I145"/>
    </row>
    <row r="146" spans="2:9" x14ac:dyDescent="0.3">
      <c r="B146" s="57"/>
      <c r="C146" s="5"/>
      <c r="D146" s="5"/>
      <c r="E146" s="6"/>
      <c r="F146" s="7">
        <f t="shared" si="4"/>
      </c>
      <c r="G146" s="7">
        <f t="shared" si="5"/>
      </c>
      <c r="H146" s="7">
        <f>IF($C146="","",IFERROR(INDEX(Impostazioni!$C$9:$C$38,MATCH($C146,Impostazioni!$B$9:$B$38,0)),"?? categoria non trovata"))</f>
      </c>
      <c r="I146"/>
    </row>
    <row r="147" spans="2:9" x14ac:dyDescent="0.3">
      <c r="B147" s="57"/>
      <c r="C147" s="5"/>
      <c r="D147" s="5"/>
      <c r="E147" s="6"/>
      <c r="F147" s="7">
        <f t="shared" si="4"/>
      </c>
      <c r="G147" s="7">
        <f t="shared" si="5"/>
      </c>
      <c r="H147" s="7">
        <f>IF($C147="","",IFERROR(INDEX(Impostazioni!$C$9:$C$38,MATCH($C147,Impostazioni!$B$9:$B$38,0)),"?? categoria non trovata"))</f>
      </c>
      <c r="I147"/>
    </row>
    <row r="148" spans="2:9" x14ac:dyDescent="0.3">
      <c r="B148" s="57"/>
      <c r="C148" s="5"/>
      <c r="D148" s="5"/>
      <c r="E148" s="6"/>
      <c r="F148" s="7">
        <f t="shared" si="4"/>
      </c>
      <c r="G148" s="7">
        <f t="shared" si="5"/>
      </c>
      <c r="H148" s="7">
        <f>IF($C148="","",IFERROR(INDEX(Impostazioni!$C$9:$C$38,MATCH($C148,Impostazioni!$B$9:$B$38,0)),"?? categoria non trovata"))</f>
      </c>
      <c r="I148"/>
    </row>
    <row r="149" spans="2:9" x14ac:dyDescent="0.3">
      <c r="B149" s="57"/>
      <c r="C149" s="5"/>
      <c r="D149" s="5"/>
      <c r="E149" s="6"/>
      <c r="F149" s="7">
        <f t="shared" si="4"/>
      </c>
      <c r="G149" s="7">
        <f t="shared" si="5"/>
      </c>
      <c r="H149" s="7">
        <f>IF($C149="","",IFERROR(INDEX(Impostazioni!$C$9:$C$38,MATCH($C149,Impostazioni!$B$9:$B$38,0)),"?? categoria non trovata"))</f>
      </c>
      <c r="I149"/>
    </row>
    <row r="150" spans="2:9" x14ac:dyDescent="0.3">
      <c r="B150" s="57"/>
      <c r="C150" s="5"/>
      <c r="D150" s="5"/>
      <c r="E150" s="6"/>
      <c r="F150" s="7">
        <f t="shared" si="4"/>
      </c>
      <c r="G150" s="7">
        <f t="shared" si="5"/>
      </c>
      <c r="H150" s="7">
        <f>IF($C150="","",IFERROR(INDEX(Impostazioni!$C$9:$C$38,MATCH($C150,Impostazioni!$B$9:$B$38,0)),"?? categoria non trovata"))</f>
      </c>
      <c r="I150"/>
    </row>
    <row r="151" spans="2:9" x14ac:dyDescent="0.3">
      <c r="B151" s="57"/>
      <c r="C151" s="5"/>
      <c r="D151" s="5"/>
      <c r="E151" s="6"/>
      <c r="F151" s="7">
        <f t="shared" si="4"/>
      </c>
      <c r="G151" s="7">
        <f t="shared" si="5"/>
      </c>
      <c r="H151" s="7">
        <f>IF($C151="","",IFERROR(INDEX(Impostazioni!$C$9:$C$38,MATCH($C151,Impostazioni!$B$9:$B$38,0)),"?? categoria non trovata"))</f>
      </c>
      <c r="I151"/>
    </row>
    <row r="152" spans="2:9" x14ac:dyDescent="0.3">
      <c r="B152" s="57"/>
      <c r="C152" s="5"/>
      <c r="D152" s="5"/>
      <c r="E152" s="6"/>
      <c r="F152" s="7">
        <f t="shared" si="4"/>
      </c>
      <c r="G152" s="7">
        <f t="shared" si="5"/>
      </c>
      <c r="H152" s="7">
        <f>IF($C152="","",IFERROR(INDEX(Impostazioni!$C$9:$C$38,MATCH($C152,Impostazioni!$B$9:$B$38,0)),"?? categoria non trovata"))</f>
      </c>
      <c r="I152"/>
    </row>
    <row r="153" spans="2:9" x14ac:dyDescent="0.3">
      <c r="B153" s="57"/>
      <c r="C153" s="5"/>
      <c r="D153" s="5"/>
      <c r="E153" s="6"/>
      <c r="F153" s="7">
        <f t="shared" si="4"/>
      </c>
      <c r="G153" s="7">
        <f t="shared" si="5"/>
      </c>
      <c r="H153" s="7">
        <f>IF($C153="","",IFERROR(INDEX(Impostazioni!$C$9:$C$38,MATCH($C153,Impostazioni!$B$9:$B$38,0)),"?? categoria non trovata"))</f>
      </c>
      <c r="I153"/>
    </row>
    <row r="154" spans="2:9" x14ac:dyDescent="0.3">
      <c r="B154" s="57"/>
      <c r="C154" s="5"/>
      <c r="D154" s="5"/>
      <c r="E154" s="6"/>
      <c r="F154" s="7">
        <f t="shared" si="4"/>
      </c>
      <c r="G154" s="7">
        <f t="shared" si="5"/>
      </c>
      <c r="H154" s="7">
        <f>IF($C154="","",IFERROR(INDEX(Impostazioni!$C$9:$C$38,MATCH($C154,Impostazioni!$B$9:$B$38,0)),"?? categoria non trovata"))</f>
      </c>
      <c r="I154"/>
    </row>
    <row r="155" spans="2:9" x14ac:dyDescent="0.3">
      <c r="B155" s="57"/>
      <c r="C155" s="5"/>
      <c r="D155" s="5"/>
      <c r="E155" s="6"/>
      <c r="F155" s="7">
        <f t="shared" si="4"/>
      </c>
      <c r="G155" s="7">
        <f t="shared" si="5"/>
      </c>
      <c r="H155" s="7">
        <f>IF($C155="","",IFERROR(INDEX(Impostazioni!$C$9:$C$38,MATCH($C155,Impostazioni!$B$9:$B$38,0)),"?? categoria non trovata"))</f>
      </c>
      <c r="I155"/>
    </row>
    <row r="156" spans="2:9" x14ac:dyDescent="0.3">
      <c r="B156" s="57"/>
      <c r="C156" s="5"/>
      <c r="D156" s="5"/>
      <c r="E156" s="6"/>
      <c r="F156" s="7">
        <f t="shared" si="4"/>
      </c>
      <c r="G156" s="7">
        <f t="shared" si="5"/>
      </c>
      <c r="H156" s="7">
        <f>IF($C156="","",IFERROR(INDEX(Impostazioni!$C$9:$C$38,MATCH($C156,Impostazioni!$B$9:$B$38,0)),"?? categoria non trovata"))</f>
      </c>
      <c r="I156"/>
    </row>
    <row r="157" spans="2:9" x14ac:dyDescent="0.3">
      <c r="B157" s="57"/>
      <c r="C157" s="5"/>
      <c r="D157" s="5"/>
      <c r="E157" s="6"/>
      <c r="F157" s="7">
        <f t="shared" si="4"/>
      </c>
      <c r="G157" s="7">
        <f t="shared" si="5"/>
      </c>
      <c r="H157" s="7">
        <f>IF($C157="","",IFERROR(INDEX(Impostazioni!$C$9:$C$38,MATCH($C157,Impostazioni!$B$9:$B$38,0)),"?? categoria non trovata"))</f>
      </c>
      <c r="I157"/>
    </row>
    <row r="158" spans="2:9" x14ac:dyDescent="0.3">
      <c r="B158" s="57"/>
      <c r="C158" s="5"/>
      <c r="D158" s="5"/>
      <c r="E158" s="6"/>
      <c r="F158" s="7">
        <f t="shared" si="4"/>
      </c>
      <c r="G158" s="7">
        <f t="shared" si="5"/>
      </c>
      <c r="H158" s="7">
        <f>IF($C158="","",IFERROR(INDEX(Impostazioni!$C$9:$C$38,MATCH($C158,Impostazioni!$B$9:$B$38,0)),"?? categoria non trovata"))</f>
      </c>
      <c r="I158"/>
    </row>
    <row r="159" spans="2:9" x14ac:dyDescent="0.3">
      <c r="B159" s="57"/>
      <c r="C159" s="5"/>
      <c r="D159" s="5"/>
      <c r="E159" s="6"/>
      <c r="F159" s="7">
        <f t="shared" si="4"/>
      </c>
      <c r="G159" s="7">
        <f t="shared" si="5"/>
      </c>
      <c r="H159" s="7">
        <f>IF($C159="","",IFERROR(INDEX(Impostazioni!$C$9:$C$38,MATCH($C159,Impostazioni!$B$9:$B$38,0)),"?? categoria non trovata"))</f>
      </c>
      <c r="I159"/>
    </row>
    <row r="160" spans="2:9" x14ac:dyDescent="0.3">
      <c r="B160" s="57"/>
      <c r="C160" s="5"/>
      <c r="D160" s="5"/>
      <c r="E160" s="6"/>
      <c r="F160" s="7">
        <f t="shared" si="4"/>
      </c>
      <c r="G160" s="7">
        <f t="shared" si="5"/>
      </c>
      <c r="H160" s="7">
        <f>IF($C160="","",IFERROR(INDEX(Impostazioni!$C$9:$C$38,MATCH($C160,Impostazioni!$B$9:$B$38,0)),"?? categoria non trovata"))</f>
      </c>
      <c r="I160"/>
    </row>
    <row r="161" spans="2:9" x14ac:dyDescent="0.3">
      <c r="B161" s="57"/>
      <c r="C161" s="5"/>
      <c r="D161" s="5"/>
      <c r="E161" s="6"/>
      <c r="F161" s="7">
        <f t="shared" si="4"/>
      </c>
      <c r="G161" s="7">
        <f t="shared" si="5"/>
      </c>
      <c r="H161" s="7">
        <f>IF($C161="","",IFERROR(INDEX(Impostazioni!$C$9:$C$38,MATCH($C161,Impostazioni!$B$9:$B$38,0)),"?? categoria non trovata"))</f>
      </c>
      <c r="I161"/>
    </row>
    <row r="162" spans="2:9" x14ac:dyDescent="0.3">
      <c r="B162" s="57"/>
      <c r="C162" s="5"/>
      <c r="D162" s="5"/>
      <c r="E162" s="6"/>
      <c r="F162" s="7">
        <f t="shared" si="4"/>
      </c>
      <c r="G162" s="7">
        <f t="shared" si="5"/>
      </c>
      <c r="H162" s="7">
        <f>IF($C162="","",IFERROR(INDEX(Impostazioni!$C$9:$C$38,MATCH($C162,Impostazioni!$B$9:$B$38,0)),"?? categoria non trovata"))</f>
      </c>
      <c r="I162"/>
    </row>
    <row r="163" spans="2:9" x14ac:dyDescent="0.3">
      <c r="B163" s="57"/>
      <c r="C163" s="5"/>
      <c r="D163" s="5"/>
      <c r="E163" s="6"/>
      <c r="F163" s="7">
        <f t="shared" si="4"/>
      </c>
      <c r="G163" s="7">
        <f t="shared" si="5"/>
      </c>
      <c r="H163" s="7">
        <f>IF($C163="","",IFERROR(INDEX(Impostazioni!$C$9:$C$38,MATCH($C163,Impostazioni!$B$9:$B$38,0)),"?? categoria non trovata"))</f>
      </c>
      <c r="I163"/>
    </row>
    <row r="164" spans="2:9" x14ac:dyDescent="0.3">
      <c r="B164" s="57"/>
      <c r="C164" s="5"/>
      <c r="D164" s="5"/>
      <c r="E164" s="6"/>
      <c r="F164" s="7">
        <f t="shared" si="4"/>
      </c>
      <c r="G164" s="7">
        <f t="shared" si="5"/>
      </c>
      <c r="H164" s="7">
        <f>IF($C164="","",IFERROR(INDEX(Impostazioni!$C$9:$C$38,MATCH($C164,Impostazioni!$B$9:$B$38,0)),"?? categoria non trovata"))</f>
      </c>
      <c r="I164"/>
    </row>
    <row r="165" spans="2:9" x14ac:dyDescent="0.3">
      <c r="B165" s="57"/>
      <c r="C165" s="5"/>
      <c r="D165" s="5"/>
      <c r="E165" s="6"/>
      <c r="F165" s="7">
        <f t="shared" si="4"/>
      </c>
      <c r="G165" s="7">
        <f t="shared" si="5"/>
      </c>
      <c r="H165" s="7">
        <f>IF($C165="","",IFERROR(INDEX(Impostazioni!$C$9:$C$38,MATCH($C165,Impostazioni!$B$9:$B$38,0)),"?? categoria non trovata"))</f>
      </c>
      <c r="I165"/>
    </row>
    <row r="166" spans="2:9" x14ac:dyDescent="0.3">
      <c r="B166" s="57"/>
      <c r="C166" s="5"/>
      <c r="D166" s="5"/>
      <c r="E166" s="6"/>
      <c r="F166" s="7">
        <f t="shared" si="4"/>
      </c>
      <c r="G166" s="7">
        <f t="shared" si="5"/>
      </c>
      <c r="H166" s="7">
        <f>IF($C166="","",IFERROR(INDEX(Impostazioni!$C$9:$C$38,MATCH($C166,Impostazioni!$B$9:$B$38,0)),"?? categoria non trovata"))</f>
      </c>
      <c r="I166"/>
    </row>
    <row r="167" spans="2:9" x14ac:dyDescent="0.3">
      <c r="B167" s="57"/>
      <c r="C167" s="5"/>
      <c r="D167" s="5"/>
      <c r="E167" s="6"/>
      <c r="F167" s="7">
        <f t="shared" si="4"/>
      </c>
      <c r="G167" s="7">
        <f t="shared" si="5"/>
      </c>
      <c r="H167" s="7">
        <f>IF($C167="","",IFERROR(INDEX(Impostazioni!$C$9:$C$38,MATCH($C167,Impostazioni!$B$9:$B$38,0)),"?? categoria non trovata"))</f>
      </c>
      <c r="I167"/>
    </row>
    <row r="168" spans="2:9" x14ac:dyDescent="0.3">
      <c r="B168" s="57"/>
      <c r="C168" s="5"/>
      <c r="D168" s="5"/>
      <c r="E168" s="6"/>
      <c r="F168" s="7">
        <f t="shared" si="4"/>
      </c>
      <c r="G168" s="7">
        <f t="shared" si="5"/>
      </c>
      <c r="H168" s="7">
        <f>IF($C168="","",IFERROR(INDEX(Impostazioni!$C$9:$C$38,MATCH($C168,Impostazioni!$B$9:$B$38,0)),"?? categoria non trovata"))</f>
      </c>
      <c r="I168"/>
    </row>
    <row r="169" spans="2:9" x14ac:dyDescent="0.3">
      <c r="B169" s="57"/>
      <c r="C169" s="5"/>
      <c r="D169" s="5"/>
      <c r="E169" s="6"/>
      <c r="F169" s="7">
        <f t="shared" si="4"/>
      </c>
      <c r="G169" s="7">
        <f t="shared" si="5"/>
      </c>
      <c r="H169" s="7">
        <f>IF($C169="","",IFERROR(INDEX(Impostazioni!$C$9:$C$38,MATCH($C169,Impostazioni!$B$9:$B$38,0)),"?? categoria non trovata"))</f>
      </c>
      <c r="I169"/>
    </row>
    <row r="170" spans="2:9" x14ac:dyDescent="0.3">
      <c r="B170" s="57"/>
      <c r="C170" s="5"/>
      <c r="D170" s="5"/>
      <c r="E170" s="6"/>
      <c r="F170" s="7">
        <f t="shared" si="4"/>
      </c>
      <c r="G170" s="7">
        <f t="shared" si="5"/>
      </c>
      <c r="H170" s="7">
        <f>IF($C170="","",IFERROR(INDEX(Impostazioni!$C$9:$C$38,MATCH($C170,Impostazioni!$B$9:$B$38,0)),"?? categoria non trovata"))</f>
      </c>
      <c r="I170"/>
    </row>
    <row r="171" spans="2:9" x14ac:dyDescent="0.3">
      <c r="B171" s="57"/>
      <c r="C171" s="5"/>
      <c r="D171" s="5"/>
      <c r="E171" s="6"/>
      <c r="F171" s="7">
        <f t="shared" si="4"/>
      </c>
      <c r="G171" s="7">
        <f t="shared" si="5"/>
      </c>
      <c r="H171" s="7">
        <f>IF($C171="","",IFERROR(INDEX(Impostazioni!$C$9:$C$38,MATCH($C171,Impostazioni!$B$9:$B$38,0)),"?? categoria non trovata"))</f>
      </c>
      <c r="I171"/>
    </row>
    <row r="172" spans="2:9" x14ac:dyDescent="0.3">
      <c r="B172" s="57"/>
      <c r="C172" s="5"/>
      <c r="D172" s="5"/>
      <c r="E172" s="6"/>
      <c r="F172" s="7">
        <f t="shared" si="4"/>
      </c>
      <c r="G172" s="7">
        <f t="shared" si="5"/>
      </c>
      <c r="H172" s="7">
        <f>IF($C172="","",IFERROR(INDEX(Impostazioni!$C$9:$C$38,MATCH($C172,Impostazioni!$B$9:$B$38,0)),"?? categoria non trovata"))</f>
      </c>
      <c r="I172"/>
    </row>
    <row r="173" spans="2:9" x14ac:dyDescent="0.3">
      <c r="B173" s="57"/>
      <c r="C173" s="5"/>
      <c r="D173" s="5"/>
      <c r="E173" s="6"/>
      <c r="F173" s="7">
        <f t="shared" si="4"/>
      </c>
      <c r="G173" s="7">
        <f t="shared" si="5"/>
      </c>
      <c r="H173" s="7">
        <f>IF($C173="","",IFERROR(INDEX(Impostazioni!$C$9:$C$38,MATCH($C173,Impostazioni!$B$9:$B$38,0)),"?? categoria non trovata"))</f>
      </c>
      <c r="I173"/>
    </row>
    <row r="174" spans="2:9" x14ac:dyDescent="0.3">
      <c r="B174" s="57"/>
      <c r="C174" s="5"/>
      <c r="D174" s="5"/>
      <c r="E174" s="6"/>
      <c r="F174" s="7">
        <f t="shared" si="4"/>
      </c>
      <c r="G174" s="7">
        <f t="shared" si="5"/>
      </c>
      <c r="H174" s="7">
        <f>IF($C174="","",IFERROR(INDEX(Impostazioni!$C$9:$C$38,MATCH($C174,Impostazioni!$B$9:$B$38,0)),"?? categoria non trovata"))</f>
      </c>
      <c r="I174"/>
    </row>
    <row r="175" spans="2:9" x14ac:dyDescent="0.3">
      <c r="B175" s="57"/>
      <c r="C175" s="5"/>
      <c r="D175" s="5"/>
      <c r="E175" s="6"/>
      <c r="F175" s="7">
        <f t="shared" si="4"/>
      </c>
      <c r="G175" s="7">
        <f t="shared" si="5"/>
      </c>
      <c r="H175" s="7">
        <f>IF($C175="","",IFERROR(INDEX(Impostazioni!$C$9:$C$38,MATCH($C175,Impostazioni!$B$9:$B$38,0)),"?? categoria non trovata"))</f>
      </c>
      <c r="I175"/>
    </row>
    <row r="176" spans="2:9" x14ac:dyDescent="0.3">
      <c r="B176" s="57"/>
      <c r="C176" s="5"/>
      <c r="D176" s="5"/>
      <c r="E176" s="6"/>
      <c r="F176" s="7">
        <f t="shared" si="4"/>
      </c>
      <c r="G176" s="7">
        <f t="shared" si="5"/>
      </c>
      <c r="H176" s="7">
        <f>IF($C176="","",IFERROR(INDEX(Impostazioni!$C$9:$C$38,MATCH($C176,Impostazioni!$B$9:$B$38,0)),"?? categoria non trovata"))</f>
      </c>
      <c r="I176"/>
    </row>
    <row r="177" spans="2:9" x14ac:dyDescent="0.3">
      <c r="B177" s="57"/>
      <c r="C177" s="5"/>
      <c r="D177" s="5"/>
      <c r="E177" s="6"/>
      <c r="F177" s="7">
        <f t="shared" si="4"/>
      </c>
      <c r="G177" s="7">
        <f t="shared" si="5"/>
      </c>
      <c r="H177" s="7">
        <f>IF($C177="","",IFERROR(INDEX(Impostazioni!$C$9:$C$38,MATCH($C177,Impostazioni!$B$9:$B$38,0)),"?? categoria non trovata"))</f>
      </c>
      <c r="I177"/>
    </row>
    <row r="178" spans="2:9" x14ac:dyDescent="0.3">
      <c r="B178" s="57"/>
      <c r="C178" s="5"/>
      <c r="D178" s="5"/>
      <c r="E178" s="6"/>
      <c r="F178" s="7">
        <f t="shared" si="4"/>
      </c>
      <c r="G178" s="7">
        <f t="shared" si="5"/>
      </c>
      <c r="H178" s="7">
        <f>IF($C178="","",IFERROR(INDEX(Impostazioni!$C$9:$C$38,MATCH($C178,Impostazioni!$B$9:$B$38,0)),"?? categoria non trovata"))</f>
      </c>
      <c r="I178"/>
    </row>
    <row r="179" spans="2:9" x14ac:dyDescent="0.3">
      <c r="B179" s="57"/>
      <c r="C179" s="5"/>
      <c r="D179" s="5"/>
      <c r="E179" s="6"/>
      <c r="F179" s="7">
        <f t="shared" si="4"/>
      </c>
      <c r="G179" s="7">
        <f t="shared" si="5"/>
      </c>
      <c r="H179" s="7">
        <f>IF($C179="","",IFERROR(INDEX(Impostazioni!$C$9:$C$38,MATCH($C179,Impostazioni!$B$9:$B$38,0)),"?? categoria non trovata"))</f>
      </c>
      <c r="I179"/>
    </row>
    <row r="180" spans="2:9" x14ac:dyDescent="0.3">
      <c r="B180" s="57"/>
      <c r="C180" s="5"/>
      <c r="D180" s="5"/>
      <c r="E180" s="6"/>
      <c r="F180" s="7">
        <f t="shared" si="4"/>
      </c>
      <c r="G180" s="7">
        <f t="shared" si="5"/>
      </c>
      <c r="H180" s="7">
        <f>IF($C180="","",IFERROR(INDEX(Impostazioni!$C$9:$C$38,MATCH($C180,Impostazioni!$B$9:$B$38,0)),"?? categoria non trovata"))</f>
      </c>
      <c r="I180"/>
    </row>
    <row r="181" spans="2:9" x14ac:dyDescent="0.3">
      <c r="B181" s="57"/>
      <c r="C181" s="5"/>
      <c r="D181" s="5"/>
      <c r="E181" s="6"/>
      <c r="F181" s="7">
        <f t="shared" si="4"/>
      </c>
      <c r="G181" s="7">
        <f t="shared" si="5"/>
      </c>
      <c r="H181" s="7">
        <f>IF($C181="","",IFERROR(INDEX(Impostazioni!$C$9:$C$38,MATCH($C181,Impostazioni!$B$9:$B$38,0)),"?? categoria non trovata"))</f>
      </c>
      <c r="I181"/>
    </row>
    <row r="182" spans="2:9" x14ac:dyDescent="0.3">
      <c r="B182" s="57"/>
      <c r="C182" s="5"/>
      <c r="D182" s="5"/>
      <c r="E182" s="6"/>
      <c r="F182" s="7">
        <f t="shared" si="4"/>
      </c>
      <c r="G182" s="7">
        <f t="shared" si="5"/>
      </c>
      <c r="H182" s="7">
        <f>IF($C182="","",IFERROR(INDEX(Impostazioni!$C$9:$C$38,MATCH($C182,Impostazioni!$B$9:$B$38,0)),"?? categoria non trovata"))</f>
      </c>
      <c r="I182"/>
    </row>
    <row r="183" spans="2:9" x14ac:dyDescent="0.3">
      <c r="B183" s="57"/>
      <c r="C183" s="5"/>
      <c r="D183" s="5"/>
      <c r="E183" s="6"/>
      <c r="F183" s="7">
        <f t="shared" si="4"/>
      </c>
      <c r="G183" s="7">
        <f t="shared" si="5"/>
      </c>
      <c r="H183" s="7">
        <f>IF($C183="","",IFERROR(INDEX(Impostazioni!$C$9:$C$38,MATCH($C183,Impostazioni!$B$9:$B$38,0)),"?? categoria non trovata"))</f>
      </c>
      <c r="I183"/>
    </row>
    <row r="184" spans="2:9" x14ac:dyDescent="0.3">
      <c r="B184" s="57"/>
      <c r="C184" s="5"/>
      <c r="D184" s="5"/>
      <c r="E184" s="6"/>
      <c r="F184" s="7">
        <f t="shared" si="4"/>
      </c>
      <c r="G184" s="7">
        <f t="shared" si="5"/>
      </c>
      <c r="H184" s="7">
        <f>IF($C184="","",IFERROR(INDEX(Impostazioni!$C$9:$C$38,MATCH($C184,Impostazioni!$B$9:$B$38,0)),"?? categoria non trovata"))</f>
      </c>
      <c r="I184"/>
    </row>
    <row r="185" spans="2:9" x14ac:dyDescent="0.3">
      <c r="B185" s="57"/>
      <c r="C185" s="5"/>
      <c r="D185" s="5"/>
      <c r="E185" s="6"/>
      <c r="F185" s="7">
        <f t="shared" si="4"/>
      </c>
      <c r="G185" s="7">
        <f t="shared" si="5"/>
      </c>
      <c r="H185" s="7">
        <f>IF($C185="","",IFERROR(INDEX(Impostazioni!$C$9:$C$38,MATCH($C185,Impostazioni!$B$9:$B$38,0)),"?? categoria non trovata"))</f>
      </c>
      <c r="I185"/>
    </row>
    <row r="186" spans="2:9" x14ac:dyDescent="0.3">
      <c r="B186" s="57"/>
      <c r="C186" s="5"/>
      <c r="D186" s="5"/>
      <c r="E186" s="6"/>
      <c r="F186" s="7">
        <f t="shared" si="4"/>
      </c>
      <c r="G186" s="7">
        <f t="shared" si="5"/>
      </c>
      <c r="H186" s="7">
        <f>IF($C186="","",IFERROR(INDEX(Impostazioni!$C$9:$C$38,MATCH($C186,Impostazioni!$B$9:$B$38,0)),"?? categoria non trovata"))</f>
      </c>
      <c r="I186"/>
    </row>
    <row r="187" spans="2:9" x14ac:dyDescent="0.3">
      <c r="B187" s="57"/>
      <c r="C187" s="5"/>
      <c r="D187" s="5"/>
      <c r="E187" s="6"/>
      <c r="F187" s="7">
        <f t="shared" si="4"/>
      </c>
      <c r="G187" s="7">
        <f t="shared" si="5"/>
      </c>
      <c r="H187" s="7">
        <f>IF($C187="","",IFERROR(INDEX(Impostazioni!$C$9:$C$38,MATCH($C187,Impostazioni!$B$9:$B$38,0)),"?? categoria non trovata"))</f>
      </c>
      <c r="I187"/>
    </row>
    <row r="188" spans="2:9" x14ac:dyDescent="0.3">
      <c r="B188" s="57"/>
      <c r="C188" s="5"/>
      <c r="D188" s="5"/>
      <c r="E188" s="6"/>
      <c r="F188" s="7">
        <f t="shared" si="4"/>
      </c>
      <c r="G188" s="7">
        <f t="shared" si="5"/>
      </c>
      <c r="H188" s="7">
        <f>IF($C188="","",IFERROR(INDEX(Impostazioni!$C$9:$C$38,MATCH($C188,Impostazioni!$B$9:$B$38,0)),"?? categoria non trovata"))</f>
      </c>
      <c r="I188"/>
    </row>
    <row r="189" spans="2:9" x14ac:dyDescent="0.3">
      <c r="B189" s="57"/>
      <c r="C189" s="5"/>
      <c r="D189" s="5"/>
      <c r="E189" s="6"/>
      <c r="F189" s="7">
        <f t="shared" si="4"/>
      </c>
      <c r="G189" s="7">
        <f t="shared" si="5"/>
      </c>
      <c r="H189" s="7">
        <f>IF($C189="","",IFERROR(INDEX(Impostazioni!$C$9:$C$38,MATCH($C189,Impostazioni!$B$9:$B$38,0)),"?? categoria non trovata"))</f>
      </c>
      <c r="I189"/>
    </row>
    <row r="190" spans="2:9" x14ac:dyDescent="0.3">
      <c r="B190" s="57"/>
      <c r="C190" s="5"/>
      <c r="D190" s="5"/>
      <c r="E190" s="6"/>
      <c r="F190" s="7">
        <f t="shared" si="4"/>
      </c>
      <c r="G190" s="7">
        <f t="shared" si="5"/>
      </c>
      <c r="H190" s="7">
        <f>IF($C190="","",IFERROR(INDEX(Impostazioni!$C$9:$C$38,MATCH($C190,Impostazioni!$B$9:$B$38,0)),"?? categoria non trovata"))</f>
      </c>
      <c r="I190"/>
    </row>
    <row r="191" spans="2:9" x14ac:dyDescent="0.3">
      <c r="B191" s="57"/>
      <c r="C191" s="5"/>
      <c r="D191" s="5"/>
      <c r="E191" s="6"/>
      <c r="F191" s="7">
        <f t="shared" si="4"/>
      </c>
      <c r="G191" s="7">
        <f t="shared" si="5"/>
      </c>
      <c r="H191" s="7">
        <f>IF($C191="","",IFERROR(INDEX(Impostazioni!$C$9:$C$38,MATCH($C191,Impostazioni!$B$9:$B$38,0)),"?? categoria non trovata"))</f>
      </c>
      <c r="I191"/>
    </row>
    <row r="192" spans="2:9" x14ac:dyDescent="0.3">
      <c r="B192" s="57"/>
      <c r="C192" s="5"/>
      <c r="D192" s="5"/>
      <c r="E192" s="6"/>
      <c r="F192" s="7">
        <f t="shared" si="4"/>
      </c>
      <c r="G192" s="7">
        <f t="shared" si="5"/>
      </c>
      <c r="H192" s="7">
        <f>IF($C192="","",IFERROR(INDEX(Impostazioni!$C$9:$C$38,MATCH($C192,Impostazioni!$B$9:$B$38,0)),"?? categoria non trovata"))</f>
      </c>
      <c r="I192"/>
    </row>
    <row r="193" spans="2:9" x14ac:dyDescent="0.3">
      <c r="B193" s="57"/>
      <c r="C193" s="5"/>
      <c r="D193" s="5"/>
      <c r="E193" s="6"/>
      <c r="F193" s="7">
        <f t="shared" si="4"/>
      </c>
      <c r="G193" s="7">
        <f t="shared" si="5"/>
      </c>
      <c r="H193" s="7">
        <f>IF($C193="","",IFERROR(INDEX(Impostazioni!$C$9:$C$38,MATCH($C193,Impostazioni!$B$9:$B$38,0)),"?? categoria non trovata"))</f>
      </c>
      <c r="I193"/>
    </row>
    <row r="194" spans="2:9" x14ac:dyDescent="0.3">
      <c r="B194" s="57"/>
      <c r="C194" s="5"/>
      <c r="D194" s="5"/>
      <c r="E194" s="6"/>
      <c r="F194" s="7">
        <f t="shared" si="4"/>
      </c>
      <c r="G194" s="7">
        <f t="shared" si="5"/>
      </c>
      <c r="H194" s="7">
        <f>IF($C194="","",IFERROR(INDEX(Impostazioni!$C$9:$C$38,MATCH($C194,Impostazioni!$B$9:$B$38,0)),"?? categoria non trovata"))</f>
      </c>
      <c r="I194"/>
    </row>
    <row r="195" spans="2:9" x14ac:dyDescent="0.3">
      <c r="B195" s="57"/>
      <c r="C195" s="5"/>
      <c r="D195" s="5"/>
      <c r="E195" s="6"/>
      <c r="F195" s="7">
        <f t="shared" si="4"/>
      </c>
      <c r="G195" s="7">
        <f t="shared" si="5"/>
      </c>
      <c r="H195" s="7">
        <f>IF($C195="","",IFERROR(INDEX(Impostazioni!$C$9:$C$38,MATCH($C195,Impostazioni!$B$9:$B$38,0)),"?? categoria non trovata"))</f>
      </c>
      <c r="I195"/>
    </row>
    <row r="196" spans="2:9" x14ac:dyDescent="0.3">
      <c r="B196" s="57"/>
      <c r="C196" s="5"/>
      <c r="D196" s="5"/>
      <c r="E196" s="6"/>
      <c r="F196" s="7">
        <f t="shared" si="4"/>
      </c>
      <c r="G196" s="7">
        <f t="shared" si="5"/>
      </c>
      <c r="H196" s="7">
        <f>IF($C196="","",IFERROR(INDEX(Impostazioni!$C$9:$C$38,MATCH($C196,Impostazioni!$B$9:$B$38,0)),"?? categoria non trovata"))</f>
      </c>
      <c r="I196"/>
    </row>
    <row r="197" spans="2:9" x14ac:dyDescent="0.3">
      <c r="B197" s="57"/>
      <c r="C197" s="5"/>
      <c r="D197" s="5"/>
      <c r="E197" s="6"/>
      <c r="F197" s="7">
        <f t="shared" ref="F197:F260" si="6">IF($B197="","",MONTH($B197))</f>
      </c>
      <c r="G197" s="7">
        <f t="shared" ref="G197:G260" si="7">IF($B197="","",YEAR($B197))</f>
      </c>
      <c r="H197" s="7">
        <f>IF($C197="","",IFERROR(INDEX(Impostazioni!$C$9:$C$38,MATCH($C197,Impostazioni!$B$9:$B$38,0)),"?? categoria non trovata"))</f>
      </c>
      <c r="I197"/>
    </row>
    <row r="198" spans="2:9" x14ac:dyDescent="0.3">
      <c r="B198" s="57"/>
      <c r="C198" s="5"/>
      <c r="D198" s="5"/>
      <c r="E198" s="6"/>
      <c r="F198" s="7">
        <f t="shared" si="6"/>
      </c>
      <c r="G198" s="7">
        <f t="shared" si="7"/>
      </c>
      <c r="H198" s="7">
        <f>IF($C198="","",IFERROR(INDEX(Impostazioni!$C$9:$C$38,MATCH($C198,Impostazioni!$B$9:$B$38,0)),"?? categoria non trovata"))</f>
      </c>
      <c r="I198"/>
    </row>
    <row r="199" spans="2:9" x14ac:dyDescent="0.3">
      <c r="B199" s="57"/>
      <c r="C199" s="5"/>
      <c r="D199" s="5"/>
      <c r="E199" s="6"/>
      <c r="F199" s="7">
        <f t="shared" si="6"/>
      </c>
      <c r="G199" s="7">
        <f t="shared" si="7"/>
      </c>
      <c r="H199" s="7">
        <f>IF($C199="","",IFERROR(INDEX(Impostazioni!$C$9:$C$38,MATCH($C199,Impostazioni!$B$9:$B$38,0)),"?? categoria non trovata"))</f>
      </c>
      <c r="I199"/>
    </row>
    <row r="200" spans="2:9" x14ac:dyDescent="0.3">
      <c r="B200" s="57"/>
      <c r="C200" s="5"/>
      <c r="D200" s="5"/>
      <c r="E200" s="6"/>
      <c r="F200" s="7">
        <f t="shared" si="6"/>
      </c>
      <c r="G200" s="7">
        <f t="shared" si="7"/>
      </c>
      <c r="H200" s="7">
        <f>IF($C200="","",IFERROR(INDEX(Impostazioni!$C$9:$C$38,MATCH($C200,Impostazioni!$B$9:$B$38,0)),"?? categoria non trovata"))</f>
      </c>
      <c r="I200"/>
    </row>
    <row r="201" spans="2:9" x14ac:dyDescent="0.3">
      <c r="B201" s="57"/>
      <c r="C201" s="5"/>
      <c r="D201" s="5"/>
      <c r="E201" s="6"/>
      <c r="F201" s="7">
        <f t="shared" si="6"/>
      </c>
      <c r="G201" s="7">
        <f t="shared" si="7"/>
      </c>
      <c r="H201" s="7">
        <f>IF($C201="","",IFERROR(INDEX(Impostazioni!$C$9:$C$38,MATCH($C201,Impostazioni!$B$9:$B$38,0)),"?? categoria non trovata"))</f>
      </c>
      <c r="I201"/>
    </row>
    <row r="202" spans="2:9" x14ac:dyDescent="0.3">
      <c r="B202" s="57"/>
      <c r="C202" s="5"/>
      <c r="D202" s="5"/>
      <c r="E202" s="6"/>
      <c r="F202" s="7">
        <f t="shared" si="6"/>
      </c>
      <c r="G202" s="7">
        <f t="shared" si="7"/>
      </c>
      <c r="H202" s="7">
        <f>IF($C202="","",IFERROR(INDEX(Impostazioni!$C$9:$C$38,MATCH($C202,Impostazioni!$B$9:$B$38,0)),"?? categoria non trovata"))</f>
      </c>
      <c r="I202"/>
    </row>
    <row r="203" spans="2:9" x14ac:dyDescent="0.3">
      <c r="B203" s="57"/>
      <c r="C203" s="5"/>
      <c r="D203" s="5"/>
      <c r="E203" s="6"/>
      <c r="F203" s="7">
        <f t="shared" si="6"/>
      </c>
      <c r="G203" s="7">
        <f t="shared" si="7"/>
      </c>
      <c r="H203" s="7">
        <f>IF($C203="","",IFERROR(INDEX(Impostazioni!$C$9:$C$38,MATCH($C203,Impostazioni!$B$9:$B$38,0)),"?? categoria non trovata"))</f>
      </c>
      <c r="I203"/>
    </row>
    <row r="204" spans="2:9" x14ac:dyDescent="0.3">
      <c r="B204" s="57"/>
      <c r="C204" s="5"/>
      <c r="D204" s="5"/>
      <c r="E204" s="6"/>
      <c r="F204" s="7">
        <f t="shared" si="6"/>
      </c>
      <c r="G204" s="7">
        <f t="shared" si="7"/>
      </c>
      <c r="H204" s="7">
        <f>IF($C204="","",IFERROR(INDEX(Impostazioni!$C$9:$C$38,MATCH($C204,Impostazioni!$B$9:$B$38,0)),"?? categoria non trovata"))</f>
      </c>
      <c r="I204"/>
    </row>
    <row r="205" spans="2:9" x14ac:dyDescent="0.3">
      <c r="B205" s="57"/>
      <c r="C205" s="5"/>
      <c r="D205" s="5"/>
      <c r="E205" s="6"/>
      <c r="F205" s="7">
        <f t="shared" si="6"/>
      </c>
      <c r="G205" s="7">
        <f t="shared" si="7"/>
      </c>
      <c r="H205" s="7">
        <f>IF($C205="","",IFERROR(INDEX(Impostazioni!$C$9:$C$38,MATCH($C205,Impostazioni!$B$9:$B$38,0)),"?? categoria non trovata"))</f>
      </c>
      <c r="I205"/>
    </row>
    <row r="206" spans="2:9" x14ac:dyDescent="0.3">
      <c r="B206" s="57"/>
      <c r="C206" s="5"/>
      <c r="D206" s="5"/>
      <c r="E206" s="6"/>
      <c r="F206" s="7">
        <f t="shared" si="6"/>
      </c>
      <c r="G206" s="7">
        <f t="shared" si="7"/>
      </c>
      <c r="H206" s="7">
        <f>IF($C206="","",IFERROR(INDEX(Impostazioni!$C$9:$C$38,MATCH($C206,Impostazioni!$B$9:$B$38,0)),"?? categoria non trovata"))</f>
      </c>
      <c r="I206"/>
    </row>
    <row r="207" spans="2:9" x14ac:dyDescent="0.3">
      <c r="B207" s="57"/>
      <c r="C207" s="5"/>
      <c r="D207" s="5"/>
      <c r="E207" s="6"/>
      <c r="F207" s="7">
        <f t="shared" si="6"/>
      </c>
      <c r="G207" s="7">
        <f t="shared" si="7"/>
      </c>
      <c r="H207" s="7">
        <f>IF($C207="","",IFERROR(INDEX(Impostazioni!$C$9:$C$38,MATCH($C207,Impostazioni!$B$9:$B$38,0)),"?? categoria non trovata"))</f>
      </c>
      <c r="I207"/>
    </row>
    <row r="208" spans="2:9" x14ac:dyDescent="0.3">
      <c r="B208" s="57"/>
      <c r="C208" s="5"/>
      <c r="D208" s="5"/>
      <c r="E208" s="6"/>
      <c r="F208" s="7">
        <f t="shared" si="6"/>
      </c>
      <c r="G208" s="7">
        <f t="shared" si="7"/>
      </c>
      <c r="H208" s="7">
        <f>IF($C208="","",IFERROR(INDEX(Impostazioni!$C$9:$C$38,MATCH($C208,Impostazioni!$B$9:$B$38,0)),"?? categoria non trovata"))</f>
      </c>
      <c r="I208"/>
    </row>
    <row r="209" spans="2:9" x14ac:dyDescent="0.3">
      <c r="B209" s="57"/>
      <c r="C209" s="5"/>
      <c r="D209" s="5"/>
      <c r="E209" s="6"/>
      <c r="F209" s="7">
        <f t="shared" si="6"/>
      </c>
      <c r="G209" s="7">
        <f t="shared" si="7"/>
      </c>
      <c r="H209" s="7">
        <f>IF($C209="","",IFERROR(INDEX(Impostazioni!$C$9:$C$38,MATCH($C209,Impostazioni!$B$9:$B$38,0)),"?? categoria non trovata"))</f>
      </c>
      <c r="I209"/>
    </row>
    <row r="210" spans="2:9" x14ac:dyDescent="0.3">
      <c r="B210" s="57"/>
      <c r="C210" s="5"/>
      <c r="D210" s="5"/>
      <c r="E210" s="6"/>
      <c r="F210" s="7">
        <f t="shared" si="6"/>
      </c>
      <c r="G210" s="7">
        <f t="shared" si="7"/>
      </c>
      <c r="H210" s="7">
        <f>IF($C210="","",IFERROR(INDEX(Impostazioni!$C$9:$C$38,MATCH($C210,Impostazioni!$B$9:$B$38,0)),"?? categoria non trovata"))</f>
      </c>
      <c r="I210"/>
    </row>
    <row r="211" spans="2:9" x14ac:dyDescent="0.3">
      <c r="B211" s="57"/>
      <c r="C211" s="5"/>
      <c r="D211" s="5"/>
      <c r="E211" s="6"/>
      <c r="F211" s="7">
        <f t="shared" si="6"/>
      </c>
      <c r="G211" s="7">
        <f t="shared" si="7"/>
      </c>
      <c r="H211" s="7">
        <f>IF($C211="","",IFERROR(INDEX(Impostazioni!$C$9:$C$38,MATCH($C211,Impostazioni!$B$9:$B$38,0)),"?? categoria non trovata"))</f>
      </c>
      <c r="I211"/>
    </row>
    <row r="212" spans="2:9" x14ac:dyDescent="0.3">
      <c r="B212" s="57"/>
      <c r="C212" s="5"/>
      <c r="D212" s="5"/>
      <c r="E212" s="6"/>
      <c r="F212" s="7">
        <f t="shared" si="6"/>
      </c>
      <c r="G212" s="7">
        <f t="shared" si="7"/>
      </c>
      <c r="H212" s="7">
        <f>IF($C212="","",IFERROR(INDEX(Impostazioni!$C$9:$C$38,MATCH($C212,Impostazioni!$B$9:$B$38,0)),"?? categoria non trovata"))</f>
      </c>
      <c r="I212"/>
    </row>
    <row r="213" spans="2:9" x14ac:dyDescent="0.3">
      <c r="B213" s="57"/>
      <c r="C213" s="5"/>
      <c r="D213" s="5"/>
      <c r="E213" s="6"/>
      <c r="F213" s="7">
        <f t="shared" si="6"/>
      </c>
      <c r="G213" s="7">
        <f t="shared" si="7"/>
      </c>
      <c r="H213" s="7">
        <f>IF($C213="","",IFERROR(INDEX(Impostazioni!$C$9:$C$38,MATCH($C213,Impostazioni!$B$9:$B$38,0)),"?? categoria non trovata"))</f>
      </c>
      <c r="I213"/>
    </row>
    <row r="214" spans="2:9" x14ac:dyDescent="0.3">
      <c r="B214" s="57"/>
      <c r="C214" s="5"/>
      <c r="D214" s="5"/>
      <c r="E214" s="6"/>
      <c r="F214" s="7">
        <f t="shared" si="6"/>
      </c>
      <c r="G214" s="7">
        <f t="shared" si="7"/>
      </c>
      <c r="H214" s="7">
        <f>IF($C214="","",IFERROR(INDEX(Impostazioni!$C$9:$C$38,MATCH($C214,Impostazioni!$B$9:$B$38,0)),"?? categoria non trovata"))</f>
      </c>
      <c r="I214"/>
    </row>
    <row r="215" spans="2:9" x14ac:dyDescent="0.3">
      <c r="B215" s="57"/>
      <c r="C215" s="5"/>
      <c r="D215" s="5"/>
      <c r="E215" s="6"/>
      <c r="F215" s="7">
        <f t="shared" si="6"/>
      </c>
      <c r="G215" s="7">
        <f t="shared" si="7"/>
      </c>
      <c r="H215" s="7">
        <f>IF($C215="","",IFERROR(INDEX(Impostazioni!$C$9:$C$38,MATCH($C215,Impostazioni!$B$9:$B$38,0)),"?? categoria non trovata"))</f>
      </c>
      <c r="I215"/>
    </row>
    <row r="216" spans="2:9" x14ac:dyDescent="0.3">
      <c r="B216" s="57"/>
      <c r="C216" s="5"/>
      <c r="D216" s="5"/>
      <c r="E216" s="6"/>
      <c r="F216" s="7">
        <f t="shared" si="6"/>
      </c>
      <c r="G216" s="7">
        <f t="shared" si="7"/>
      </c>
      <c r="H216" s="7">
        <f>IF($C216="","",IFERROR(INDEX(Impostazioni!$C$9:$C$38,MATCH($C216,Impostazioni!$B$9:$B$38,0)),"?? categoria non trovata"))</f>
      </c>
      <c r="I216"/>
    </row>
    <row r="217" spans="2:9" x14ac:dyDescent="0.3">
      <c r="B217" s="57"/>
      <c r="C217" s="5"/>
      <c r="D217" s="5"/>
      <c r="E217" s="6"/>
      <c r="F217" s="7">
        <f t="shared" si="6"/>
      </c>
      <c r="G217" s="7">
        <f t="shared" si="7"/>
      </c>
      <c r="H217" s="7">
        <f>IF($C217="","",IFERROR(INDEX(Impostazioni!$C$9:$C$38,MATCH($C217,Impostazioni!$B$9:$B$38,0)),"?? categoria non trovata"))</f>
      </c>
      <c r="I217"/>
    </row>
    <row r="218" spans="2:9" x14ac:dyDescent="0.3">
      <c r="B218" s="57"/>
      <c r="C218" s="5"/>
      <c r="D218" s="5"/>
      <c r="E218" s="6"/>
      <c r="F218" s="7">
        <f t="shared" si="6"/>
      </c>
      <c r="G218" s="7">
        <f t="shared" si="7"/>
      </c>
      <c r="H218" s="7">
        <f>IF($C218="","",IFERROR(INDEX(Impostazioni!$C$9:$C$38,MATCH($C218,Impostazioni!$B$9:$B$38,0)),"?? categoria non trovata"))</f>
      </c>
      <c r="I218"/>
    </row>
    <row r="219" spans="2:9" x14ac:dyDescent="0.3">
      <c r="B219" s="57"/>
      <c r="C219" s="5"/>
      <c r="D219" s="5"/>
      <c r="E219" s="6"/>
      <c r="F219" s="7">
        <f t="shared" si="6"/>
      </c>
      <c r="G219" s="7">
        <f t="shared" si="7"/>
      </c>
      <c r="H219" s="7">
        <f>IF($C219="","",IFERROR(INDEX(Impostazioni!$C$9:$C$38,MATCH($C219,Impostazioni!$B$9:$B$38,0)),"?? categoria non trovata"))</f>
      </c>
      <c r="I219"/>
    </row>
    <row r="220" spans="2:9" x14ac:dyDescent="0.3">
      <c r="B220" s="57"/>
      <c r="C220" s="5"/>
      <c r="D220" s="5"/>
      <c r="E220" s="6"/>
      <c r="F220" s="7">
        <f t="shared" si="6"/>
      </c>
      <c r="G220" s="7">
        <f t="shared" si="7"/>
      </c>
      <c r="H220" s="7">
        <f>IF($C220="","",IFERROR(INDEX(Impostazioni!$C$9:$C$38,MATCH($C220,Impostazioni!$B$9:$B$38,0)),"?? categoria non trovata"))</f>
      </c>
      <c r="I220"/>
    </row>
    <row r="221" spans="2:9" x14ac:dyDescent="0.3">
      <c r="B221" s="57"/>
      <c r="C221" s="5"/>
      <c r="D221" s="5"/>
      <c r="E221" s="6"/>
      <c r="F221" s="7">
        <f t="shared" si="6"/>
      </c>
      <c r="G221" s="7">
        <f t="shared" si="7"/>
      </c>
      <c r="H221" s="7">
        <f>IF($C221="","",IFERROR(INDEX(Impostazioni!$C$9:$C$38,MATCH($C221,Impostazioni!$B$9:$B$38,0)),"?? categoria non trovata"))</f>
      </c>
      <c r="I221"/>
    </row>
    <row r="222" spans="2:9" x14ac:dyDescent="0.3">
      <c r="B222" s="57"/>
      <c r="C222" s="5"/>
      <c r="D222" s="5"/>
      <c r="E222" s="6"/>
      <c r="F222" s="7">
        <f t="shared" si="6"/>
      </c>
      <c r="G222" s="7">
        <f t="shared" si="7"/>
      </c>
      <c r="H222" s="7">
        <f>IF($C222="","",IFERROR(INDEX(Impostazioni!$C$9:$C$38,MATCH($C222,Impostazioni!$B$9:$B$38,0)),"?? categoria non trovata"))</f>
      </c>
      <c r="I222"/>
    </row>
    <row r="223" spans="2:9" x14ac:dyDescent="0.3">
      <c r="B223" s="57"/>
      <c r="C223" s="5"/>
      <c r="D223" s="5"/>
      <c r="E223" s="6"/>
      <c r="F223" s="7">
        <f t="shared" si="6"/>
      </c>
      <c r="G223" s="7">
        <f t="shared" si="7"/>
      </c>
      <c r="H223" s="7">
        <f>IF($C223="","",IFERROR(INDEX(Impostazioni!$C$9:$C$38,MATCH($C223,Impostazioni!$B$9:$B$38,0)),"?? categoria non trovata"))</f>
      </c>
      <c r="I223"/>
    </row>
    <row r="224" spans="2:9" x14ac:dyDescent="0.3">
      <c r="B224" s="57"/>
      <c r="C224" s="5"/>
      <c r="D224" s="5"/>
      <c r="E224" s="6"/>
      <c r="F224" s="7">
        <f t="shared" si="6"/>
      </c>
      <c r="G224" s="7">
        <f t="shared" si="7"/>
      </c>
      <c r="H224" s="7">
        <f>IF($C224="","",IFERROR(INDEX(Impostazioni!$C$9:$C$38,MATCH($C224,Impostazioni!$B$9:$B$38,0)),"?? categoria non trovata"))</f>
      </c>
      <c r="I224"/>
    </row>
    <row r="225" spans="2:9" x14ac:dyDescent="0.3">
      <c r="B225" s="57"/>
      <c r="C225" s="5"/>
      <c r="D225" s="5"/>
      <c r="E225" s="6"/>
      <c r="F225" s="7">
        <f t="shared" si="6"/>
      </c>
      <c r="G225" s="7">
        <f t="shared" si="7"/>
      </c>
      <c r="H225" s="7">
        <f>IF($C225="","",IFERROR(INDEX(Impostazioni!$C$9:$C$38,MATCH($C225,Impostazioni!$B$9:$B$38,0)),"?? categoria non trovata"))</f>
      </c>
      <c r="I225"/>
    </row>
    <row r="226" spans="2:9" x14ac:dyDescent="0.3">
      <c r="B226" s="57"/>
      <c r="C226" s="5"/>
      <c r="D226" s="5"/>
      <c r="E226" s="6"/>
      <c r="F226" s="7">
        <f t="shared" si="6"/>
      </c>
      <c r="G226" s="7">
        <f t="shared" si="7"/>
      </c>
      <c r="H226" s="7">
        <f>IF($C226="","",IFERROR(INDEX(Impostazioni!$C$9:$C$38,MATCH($C226,Impostazioni!$B$9:$B$38,0)),"?? categoria non trovata"))</f>
      </c>
      <c r="I226"/>
    </row>
    <row r="227" spans="2:9" x14ac:dyDescent="0.3">
      <c r="B227" s="57"/>
      <c r="C227" s="5"/>
      <c r="D227" s="5"/>
      <c r="E227" s="6"/>
      <c r="F227" s="7">
        <f t="shared" si="6"/>
      </c>
      <c r="G227" s="7">
        <f t="shared" si="7"/>
      </c>
      <c r="H227" s="7">
        <f>IF($C227="","",IFERROR(INDEX(Impostazioni!$C$9:$C$38,MATCH($C227,Impostazioni!$B$9:$B$38,0)),"?? categoria non trovata"))</f>
      </c>
      <c r="I227"/>
    </row>
    <row r="228" spans="2:9" x14ac:dyDescent="0.3">
      <c r="B228" s="57"/>
      <c r="C228" s="5"/>
      <c r="D228" s="5"/>
      <c r="E228" s="6"/>
      <c r="F228" s="7">
        <f t="shared" si="6"/>
      </c>
      <c r="G228" s="7">
        <f t="shared" si="7"/>
      </c>
      <c r="H228" s="7">
        <f>IF($C228="","",IFERROR(INDEX(Impostazioni!$C$9:$C$38,MATCH($C228,Impostazioni!$B$9:$B$38,0)),"?? categoria non trovata"))</f>
      </c>
      <c r="I228"/>
    </row>
    <row r="229" spans="2:9" x14ac:dyDescent="0.3">
      <c r="B229" s="57"/>
      <c r="C229" s="5"/>
      <c r="D229" s="5"/>
      <c r="E229" s="6"/>
      <c r="F229" s="7">
        <f t="shared" si="6"/>
      </c>
      <c r="G229" s="7">
        <f t="shared" si="7"/>
      </c>
      <c r="H229" s="7">
        <f>IF($C229="","",IFERROR(INDEX(Impostazioni!$C$9:$C$38,MATCH($C229,Impostazioni!$B$9:$B$38,0)),"?? categoria non trovata"))</f>
      </c>
      <c r="I229"/>
    </row>
    <row r="230" spans="2:9" x14ac:dyDescent="0.3">
      <c r="B230" s="57"/>
      <c r="C230" s="5"/>
      <c r="D230" s="5"/>
      <c r="E230" s="6"/>
      <c r="F230" s="7">
        <f t="shared" si="6"/>
      </c>
      <c r="G230" s="7">
        <f t="shared" si="7"/>
      </c>
      <c r="H230" s="7">
        <f>IF($C230="","",IFERROR(INDEX(Impostazioni!$C$9:$C$38,MATCH($C230,Impostazioni!$B$9:$B$38,0)),"?? categoria non trovata"))</f>
      </c>
      <c r="I230"/>
    </row>
    <row r="231" spans="2:9" x14ac:dyDescent="0.3">
      <c r="B231" s="57"/>
      <c r="C231" s="5"/>
      <c r="D231" s="5"/>
      <c r="E231" s="6"/>
      <c r="F231" s="7">
        <f t="shared" si="6"/>
      </c>
      <c r="G231" s="7">
        <f t="shared" si="7"/>
      </c>
      <c r="H231" s="7">
        <f>IF($C231="","",IFERROR(INDEX(Impostazioni!$C$9:$C$38,MATCH($C231,Impostazioni!$B$9:$B$38,0)),"?? categoria non trovata"))</f>
      </c>
      <c r="I231"/>
    </row>
    <row r="232" spans="2:9" x14ac:dyDescent="0.3">
      <c r="B232" s="57"/>
      <c r="C232" s="5"/>
      <c r="D232" s="5"/>
      <c r="E232" s="6"/>
      <c r="F232" s="7">
        <f t="shared" si="6"/>
      </c>
      <c r="G232" s="7">
        <f t="shared" si="7"/>
      </c>
      <c r="H232" s="7">
        <f>IF($C232="","",IFERROR(INDEX(Impostazioni!$C$9:$C$38,MATCH($C232,Impostazioni!$B$9:$B$38,0)),"?? categoria non trovata"))</f>
      </c>
      <c r="I232"/>
    </row>
    <row r="233" spans="2:9" x14ac:dyDescent="0.3">
      <c r="B233" s="57"/>
      <c r="C233" s="5"/>
      <c r="D233" s="5"/>
      <c r="E233" s="6"/>
      <c r="F233" s="7">
        <f t="shared" si="6"/>
      </c>
      <c r="G233" s="7">
        <f t="shared" si="7"/>
      </c>
      <c r="H233" s="7">
        <f>IF($C233="","",IFERROR(INDEX(Impostazioni!$C$9:$C$38,MATCH($C233,Impostazioni!$B$9:$B$38,0)),"?? categoria non trovata"))</f>
      </c>
      <c r="I233"/>
    </row>
    <row r="234" spans="2:9" x14ac:dyDescent="0.3">
      <c r="B234" s="57"/>
      <c r="C234" s="5"/>
      <c r="D234" s="5"/>
      <c r="E234" s="6"/>
      <c r="F234" s="7">
        <f t="shared" si="6"/>
      </c>
      <c r="G234" s="7">
        <f t="shared" si="7"/>
      </c>
      <c r="H234" s="7">
        <f>IF($C234="","",IFERROR(INDEX(Impostazioni!$C$9:$C$38,MATCH($C234,Impostazioni!$B$9:$B$38,0)),"?? categoria non trovata"))</f>
      </c>
      <c r="I234"/>
    </row>
    <row r="235" spans="2:9" x14ac:dyDescent="0.3">
      <c r="B235" s="57"/>
      <c r="C235" s="5"/>
      <c r="D235" s="5"/>
      <c r="E235" s="6"/>
      <c r="F235" s="7">
        <f t="shared" si="6"/>
      </c>
      <c r="G235" s="7">
        <f t="shared" si="7"/>
      </c>
      <c r="H235" s="7">
        <f>IF($C235="","",IFERROR(INDEX(Impostazioni!$C$9:$C$38,MATCH($C235,Impostazioni!$B$9:$B$38,0)),"?? categoria non trovata"))</f>
      </c>
      <c r="I235"/>
    </row>
    <row r="236" spans="2:9" x14ac:dyDescent="0.3">
      <c r="B236" s="57"/>
      <c r="C236" s="5"/>
      <c r="D236" s="5"/>
      <c r="E236" s="6"/>
      <c r="F236" s="7">
        <f t="shared" si="6"/>
      </c>
      <c r="G236" s="7">
        <f t="shared" si="7"/>
      </c>
      <c r="H236" s="7">
        <f>IF($C236="","",IFERROR(INDEX(Impostazioni!$C$9:$C$38,MATCH($C236,Impostazioni!$B$9:$B$38,0)),"?? categoria non trovata"))</f>
      </c>
      <c r="I236"/>
    </row>
    <row r="237" spans="2:9" x14ac:dyDescent="0.3">
      <c r="B237" s="57"/>
      <c r="C237" s="5"/>
      <c r="D237" s="5"/>
      <c r="E237" s="6"/>
      <c r="F237" s="7">
        <f t="shared" si="6"/>
      </c>
      <c r="G237" s="7">
        <f t="shared" si="7"/>
      </c>
      <c r="H237" s="7">
        <f>IF($C237="","",IFERROR(INDEX(Impostazioni!$C$9:$C$38,MATCH($C237,Impostazioni!$B$9:$B$38,0)),"?? categoria non trovata"))</f>
      </c>
      <c r="I237"/>
    </row>
    <row r="238" spans="2:9" x14ac:dyDescent="0.3">
      <c r="B238" s="57"/>
      <c r="C238" s="5"/>
      <c r="D238" s="5"/>
      <c r="E238" s="6"/>
      <c r="F238" s="7">
        <f t="shared" si="6"/>
      </c>
      <c r="G238" s="7">
        <f t="shared" si="7"/>
      </c>
      <c r="H238" s="7">
        <f>IF($C238="","",IFERROR(INDEX(Impostazioni!$C$9:$C$38,MATCH($C238,Impostazioni!$B$9:$B$38,0)),"?? categoria non trovata"))</f>
      </c>
      <c r="I238"/>
    </row>
    <row r="239" spans="2:9" x14ac:dyDescent="0.3">
      <c r="B239" s="57"/>
      <c r="C239" s="5"/>
      <c r="D239" s="5"/>
      <c r="E239" s="6"/>
      <c r="F239" s="7">
        <f t="shared" si="6"/>
      </c>
      <c r="G239" s="7">
        <f t="shared" si="7"/>
      </c>
      <c r="H239" s="7">
        <f>IF($C239="","",IFERROR(INDEX(Impostazioni!$C$9:$C$38,MATCH($C239,Impostazioni!$B$9:$B$38,0)),"?? categoria non trovata"))</f>
      </c>
      <c r="I239"/>
    </row>
    <row r="240" spans="2:9" x14ac:dyDescent="0.3">
      <c r="B240" s="57"/>
      <c r="C240" s="5"/>
      <c r="D240" s="5"/>
      <c r="E240" s="6"/>
      <c r="F240" s="7">
        <f t="shared" si="6"/>
      </c>
      <c r="G240" s="7">
        <f t="shared" si="7"/>
      </c>
      <c r="H240" s="7">
        <f>IF($C240="","",IFERROR(INDEX(Impostazioni!$C$9:$C$38,MATCH($C240,Impostazioni!$B$9:$B$38,0)),"?? categoria non trovata"))</f>
      </c>
      <c r="I240"/>
    </row>
    <row r="241" spans="2:9" x14ac:dyDescent="0.3">
      <c r="B241" s="57"/>
      <c r="C241" s="5"/>
      <c r="D241" s="5"/>
      <c r="E241" s="6"/>
      <c r="F241" s="7">
        <f t="shared" si="6"/>
      </c>
      <c r="G241" s="7">
        <f t="shared" si="7"/>
      </c>
      <c r="H241" s="7">
        <f>IF($C241="","",IFERROR(INDEX(Impostazioni!$C$9:$C$38,MATCH($C241,Impostazioni!$B$9:$B$38,0)),"?? categoria non trovata"))</f>
      </c>
      <c r="I241"/>
    </row>
    <row r="242" spans="2:9" x14ac:dyDescent="0.3">
      <c r="B242" s="57"/>
      <c r="C242" s="5"/>
      <c r="D242" s="5"/>
      <c r="E242" s="6"/>
      <c r="F242" s="7">
        <f t="shared" si="6"/>
      </c>
      <c r="G242" s="7">
        <f t="shared" si="7"/>
      </c>
      <c r="H242" s="7">
        <f>IF($C242="","",IFERROR(INDEX(Impostazioni!$C$9:$C$38,MATCH($C242,Impostazioni!$B$9:$B$38,0)),"?? categoria non trovata"))</f>
      </c>
      <c r="I242"/>
    </row>
    <row r="243" spans="2:9" x14ac:dyDescent="0.3">
      <c r="B243" s="57"/>
      <c r="C243" s="5"/>
      <c r="D243" s="5"/>
      <c r="E243" s="6"/>
      <c r="F243" s="7">
        <f t="shared" si="6"/>
      </c>
      <c r="G243" s="7">
        <f t="shared" si="7"/>
      </c>
      <c r="H243" s="7">
        <f>IF($C243="","",IFERROR(INDEX(Impostazioni!$C$9:$C$38,MATCH($C243,Impostazioni!$B$9:$B$38,0)),"?? categoria non trovata"))</f>
      </c>
      <c r="I243"/>
    </row>
    <row r="244" spans="2:9" x14ac:dyDescent="0.3">
      <c r="B244" s="57"/>
      <c r="C244" s="5"/>
      <c r="D244" s="5"/>
      <c r="E244" s="6"/>
      <c r="F244" s="7">
        <f t="shared" si="6"/>
      </c>
      <c r="G244" s="7">
        <f t="shared" si="7"/>
      </c>
      <c r="H244" s="7">
        <f>IF($C244="","",IFERROR(INDEX(Impostazioni!$C$9:$C$38,MATCH($C244,Impostazioni!$B$9:$B$38,0)),"?? categoria non trovata"))</f>
      </c>
      <c r="I244"/>
    </row>
    <row r="245" spans="2:9" x14ac:dyDescent="0.3">
      <c r="B245" s="57"/>
      <c r="C245" s="5"/>
      <c r="D245" s="5"/>
      <c r="E245" s="6"/>
      <c r="F245" s="7">
        <f t="shared" si="6"/>
      </c>
      <c r="G245" s="7">
        <f t="shared" si="7"/>
      </c>
      <c r="H245" s="7">
        <f>IF($C245="","",IFERROR(INDEX(Impostazioni!$C$9:$C$38,MATCH($C245,Impostazioni!$B$9:$B$38,0)),"?? categoria non trovata"))</f>
      </c>
      <c r="I245"/>
    </row>
    <row r="246" spans="2:9" x14ac:dyDescent="0.3">
      <c r="B246" s="57"/>
      <c r="C246" s="5"/>
      <c r="D246" s="5"/>
      <c r="E246" s="6"/>
      <c r="F246" s="7">
        <f t="shared" si="6"/>
      </c>
      <c r="G246" s="7">
        <f t="shared" si="7"/>
      </c>
      <c r="H246" s="7">
        <f>IF($C246="","",IFERROR(INDEX(Impostazioni!$C$9:$C$38,MATCH($C246,Impostazioni!$B$9:$B$38,0)),"?? categoria non trovata"))</f>
      </c>
      <c r="I246"/>
    </row>
    <row r="247" spans="2:9" x14ac:dyDescent="0.3">
      <c r="B247" s="57"/>
      <c r="C247" s="5"/>
      <c r="D247" s="5"/>
      <c r="E247" s="6"/>
      <c r="F247" s="7">
        <f t="shared" si="6"/>
      </c>
      <c r="G247" s="7">
        <f t="shared" si="7"/>
      </c>
      <c r="H247" s="7">
        <f>IF($C247="","",IFERROR(INDEX(Impostazioni!$C$9:$C$38,MATCH($C247,Impostazioni!$B$9:$B$38,0)),"?? categoria non trovata"))</f>
      </c>
      <c r="I247"/>
    </row>
    <row r="248" spans="2:9" x14ac:dyDescent="0.3">
      <c r="B248" s="57"/>
      <c r="C248" s="5"/>
      <c r="D248" s="5"/>
      <c r="E248" s="6"/>
      <c r="F248" s="7">
        <f t="shared" si="6"/>
      </c>
      <c r="G248" s="7">
        <f t="shared" si="7"/>
      </c>
      <c r="H248" s="7">
        <f>IF($C248="","",IFERROR(INDEX(Impostazioni!$C$9:$C$38,MATCH($C248,Impostazioni!$B$9:$B$38,0)),"?? categoria non trovata"))</f>
      </c>
      <c r="I248"/>
    </row>
    <row r="249" spans="2:9" x14ac:dyDescent="0.3">
      <c r="B249" s="57"/>
      <c r="C249" s="5"/>
      <c r="D249" s="5"/>
      <c r="E249" s="6"/>
      <c r="F249" s="7">
        <f t="shared" si="6"/>
      </c>
      <c r="G249" s="7">
        <f t="shared" si="7"/>
      </c>
      <c r="H249" s="7">
        <f>IF($C249="","",IFERROR(INDEX(Impostazioni!$C$9:$C$38,MATCH($C249,Impostazioni!$B$9:$B$38,0)),"?? categoria non trovata"))</f>
      </c>
      <c r="I249"/>
    </row>
    <row r="250" spans="2:9" x14ac:dyDescent="0.3">
      <c r="B250" s="57"/>
      <c r="C250" s="5"/>
      <c r="D250" s="5"/>
      <c r="E250" s="6"/>
      <c r="F250" s="7">
        <f t="shared" si="6"/>
      </c>
      <c r="G250" s="7">
        <f t="shared" si="7"/>
      </c>
      <c r="H250" s="7">
        <f>IF($C250="","",IFERROR(INDEX(Impostazioni!$C$9:$C$38,MATCH($C250,Impostazioni!$B$9:$B$38,0)),"?? categoria non trovata"))</f>
      </c>
      <c r="I250"/>
    </row>
    <row r="251" spans="2:9" x14ac:dyDescent="0.3">
      <c r="B251" s="57"/>
      <c r="C251" s="5"/>
      <c r="D251" s="5"/>
      <c r="E251" s="6"/>
      <c r="F251" s="7">
        <f t="shared" si="6"/>
      </c>
      <c r="G251" s="7">
        <f t="shared" si="7"/>
      </c>
      <c r="H251" s="7">
        <f>IF($C251="","",IFERROR(INDEX(Impostazioni!$C$9:$C$38,MATCH($C251,Impostazioni!$B$9:$B$38,0)),"?? categoria non trovata"))</f>
      </c>
      <c r="I251"/>
    </row>
    <row r="252" spans="2:9" x14ac:dyDescent="0.3">
      <c r="B252" s="57"/>
      <c r="C252" s="5"/>
      <c r="D252" s="5"/>
      <c r="E252" s="6"/>
      <c r="F252" s="7">
        <f t="shared" si="6"/>
      </c>
      <c r="G252" s="7">
        <f t="shared" si="7"/>
      </c>
      <c r="H252" s="7">
        <f>IF($C252="","",IFERROR(INDEX(Impostazioni!$C$9:$C$38,MATCH($C252,Impostazioni!$B$9:$B$38,0)),"?? categoria non trovata"))</f>
      </c>
      <c r="I252"/>
    </row>
    <row r="253" spans="2:9" x14ac:dyDescent="0.3">
      <c r="B253" s="57"/>
      <c r="C253" s="5"/>
      <c r="D253" s="5"/>
      <c r="E253" s="6"/>
      <c r="F253" s="7">
        <f t="shared" si="6"/>
      </c>
      <c r="G253" s="7">
        <f t="shared" si="7"/>
      </c>
      <c r="H253" s="7">
        <f>IF($C253="","",IFERROR(INDEX(Impostazioni!$C$9:$C$38,MATCH($C253,Impostazioni!$B$9:$B$38,0)),"?? categoria non trovata"))</f>
      </c>
      <c r="I253"/>
    </row>
    <row r="254" spans="2:9" x14ac:dyDescent="0.3">
      <c r="B254" s="57"/>
      <c r="C254" s="5"/>
      <c r="D254" s="5"/>
      <c r="E254" s="6"/>
      <c r="F254" s="7">
        <f t="shared" si="6"/>
      </c>
      <c r="G254" s="7">
        <f t="shared" si="7"/>
      </c>
      <c r="H254" s="7">
        <f>IF($C254="","",IFERROR(INDEX(Impostazioni!$C$9:$C$38,MATCH($C254,Impostazioni!$B$9:$B$38,0)),"?? categoria non trovata"))</f>
      </c>
      <c r="I254"/>
    </row>
    <row r="255" spans="2:9" x14ac:dyDescent="0.3">
      <c r="B255" s="57"/>
      <c r="C255" s="5"/>
      <c r="D255" s="5"/>
      <c r="E255" s="6"/>
      <c r="F255" s="7">
        <f t="shared" si="6"/>
      </c>
      <c r="G255" s="7">
        <f t="shared" si="7"/>
      </c>
      <c r="H255" s="7">
        <f>IF($C255="","",IFERROR(INDEX(Impostazioni!$C$9:$C$38,MATCH($C255,Impostazioni!$B$9:$B$38,0)),"?? categoria non trovata"))</f>
      </c>
      <c r="I255"/>
    </row>
    <row r="256" spans="2:9" x14ac:dyDescent="0.3">
      <c r="B256" s="57"/>
      <c r="C256" s="5"/>
      <c r="D256" s="5"/>
      <c r="E256" s="6"/>
      <c r="F256" s="7">
        <f t="shared" si="6"/>
      </c>
      <c r="G256" s="7">
        <f t="shared" si="7"/>
      </c>
      <c r="H256" s="7">
        <f>IF($C256="","",IFERROR(INDEX(Impostazioni!$C$9:$C$38,MATCH($C256,Impostazioni!$B$9:$B$38,0)),"?? categoria non trovata"))</f>
      </c>
      <c r="I256"/>
    </row>
    <row r="257" spans="2:9" x14ac:dyDescent="0.3">
      <c r="B257" s="57"/>
      <c r="C257" s="5"/>
      <c r="D257" s="5"/>
      <c r="E257" s="6"/>
      <c r="F257" s="7">
        <f t="shared" si="6"/>
      </c>
      <c r="G257" s="7">
        <f t="shared" si="7"/>
      </c>
      <c r="H257" s="7">
        <f>IF($C257="","",IFERROR(INDEX(Impostazioni!$C$9:$C$38,MATCH($C257,Impostazioni!$B$9:$B$38,0)),"?? categoria non trovata"))</f>
      </c>
      <c r="I257"/>
    </row>
    <row r="258" spans="2:9" x14ac:dyDescent="0.3">
      <c r="B258" s="57"/>
      <c r="C258" s="5"/>
      <c r="D258" s="5"/>
      <c r="E258" s="6"/>
      <c r="F258" s="7">
        <f t="shared" si="6"/>
      </c>
      <c r="G258" s="7">
        <f t="shared" si="7"/>
      </c>
      <c r="H258" s="7">
        <f>IF($C258="","",IFERROR(INDEX(Impostazioni!$C$9:$C$38,MATCH($C258,Impostazioni!$B$9:$B$38,0)),"?? categoria non trovata"))</f>
      </c>
      <c r="I258"/>
    </row>
    <row r="259" spans="2:9" x14ac:dyDescent="0.3">
      <c r="B259" s="57"/>
      <c r="C259" s="5"/>
      <c r="D259" s="5"/>
      <c r="E259" s="6"/>
      <c r="F259" s="7">
        <f t="shared" si="6"/>
      </c>
      <c r="G259" s="7">
        <f t="shared" si="7"/>
      </c>
      <c r="H259" s="7">
        <f>IF($C259="","",IFERROR(INDEX(Impostazioni!$C$9:$C$38,MATCH($C259,Impostazioni!$B$9:$B$38,0)),"?? categoria non trovata"))</f>
      </c>
      <c r="I259"/>
    </row>
    <row r="260" spans="2:9" x14ac:dyDescent="0.3">
      <c r="B260" s="57"/>
      <c r="C260" s="5"/>
      <c r="D260" s="5"/>
      <c r="E260" s="6"/>
      <c r="F260" s="7">
        <f t="shared" si="6"/>
      </c>
      <c r="G260" s="7">
        <f t="shared" si="7"/>
      </c>
      <c r="H260" s="7">
        <f>IF($C260="","",IFERROR(INDEX(Impostazioni!$C$9:$C$38,MATCH($C260,Impostazioni!$B$9:$B$38,0)),"?? categoria non trovata"))</f>
      </c>
      <c r="I260"/>
    </row>
    <row r="261" spans="2:9" x14ac:dyDescent="0.3">
      <c r="B261" s="57"/>
      <c r="C261" s="5"/>
      <c r="D261" s="5"/>
      <c r="E261" s="6"/>
      <c r="F261" s="7">
        <f t="shared" ref="F261:F324" si="8">IF($B261="","",MONTH($B261))</f>
      </c>
      <c r="G261" s="7">
        <f t="shared" ref="G261:G324" si="9">IF($B261="","",YEAR($B261))</f>
      </c>
      <c r="H261" s="7">
        <f>IF($C261="","",IFERROR(INDEX(Impostazioni!$C$9:$C$38,MATCH($C261,Impostazioni!$B$9:$B$38,0)),"?? categoria non trovata"))</f>
      </c>
      <c r="I261"/>
    </row>
    <row r="262" spans="2:9" x14ac:dyDescent="0.3">
      <c r="B262" s="57"/>
      <c r="C262" s="5"/>
      <c r="D262" s="5"/>
      <c r="E262" s="6"/>
      <c r="F262" s="7">
        <f t="shared" si="8"/>
      </c>
      <c r="G262" s="7">
        <f t="shared" si="9"/>
      </c>
      <c r="H262" s="7">
        <f>IF($C262="","",IFERROR(INDEX(Impostazioni!$C$9:$C$38,MATCH($C262,Impostazioni!$B$9:$B$38,0)),"?? categoria non trovata"))</f>
      </c>
      <c r="I262"/>
    </row>
    <row r="263" spans="2:9" x14ac:dyDescent="0.3">
      <c r="B263" s="57"/>
      <c r="C263" s="5"/>
      <c r="D263" s="5"/>
      <c r="E263" s="6"/>
      <c r="F263" s="7">
        <f t="shared" si="8"/>
      </c>
      <c r="G263" s="7">
        <f t="shared" si="9"/>
      </c>
      <c r="H263" s="7">
        <f>IF($C263="","",IFERROR(INDEX(Impostazioni!$C$9:$C$38,MATCH($C263,Impostazioni!$B$9:$B$38,0)),"?? categoria non trovata"))</f>
      </c>
      <c r="I263"/>
    </row>
    <row r="264" spans="2:9" x14ac:dyDescent="0.3">
      <c r="B264" s="57"/>
      <c r="C264" s="5"/>
      <c r="D264" s="5"/>
      <c r="E264" s="6"/>
      <c r="F264" s="7">
        <f t="shared" si="8"/>
      </c>
      <c r="G264" s="7">
        <f t="shared" si="9"/>
      </c>
      <c r="H264" s="7">
        <f>IF($C264="","",IFERROR(INDEX(Impostazioni!$C$9:$C$38,MATCH($C264,Impostazioni!$B$9:$B$38,0)),"?? categoria non trovata"))</f>
      </c>
      <c r="I264"/>
    </row>
    <row r="265" spans="2:9" x14ac:dyDescent="0.3">
      <c r="B265" s="57"/>
      <c r="C265" s="5"/>
      <c r="D265" s="5"/>
      <c r="E265" s="6"/>
      <c r="F265" s="7">
        <f t="shared" si="8"/>
      </c>
      <c r="G265" s="7">
        <f t="shared" si="9"/>
      </c>
      <c r="H265" s="7">
        <f>IF($C265="","",IFERROR(INDEX(Impostazioni!$C$9:$C$38,MATCH($C265,Impostazioni!$B$9:$B$38,0)),"?? categoria non trovata"))</f>
      </c>
      <c r="I265"/>
    </row>
    <row r="266" spans="2:9" x14ac:dyDescent="0.3">
      <c r="B266" s="57"/>
      <c r="C266" s="5"/>
      <c r="D266" s="5"/>
      <c r="E266" s="6"/>
      <c r="F266" s="7">
        <f t="shared" si="8"/>
      </c>
      <c r="G266" s="7">
        <f t="shared" si="9"/>
      </c>
      <c r="H266" s="7">
        <f>IF($C266="","",IFERROR(INDEX(Impostazioni!$C$9:$C$38,MATCH($C266,Impostazioni!$B$9:$B$38,0)),"?? categoria non trovata"))</f>
      </c>
      <c r="I266"/>
    </row>
    <row r="267" spans="2:9" x14ac:dyDescent="0.3">
      <c r="B267" s="57"/>
      <c r="C267" s="5"/>
      <c r="D267" s="5"/>
      <c r="E267" s="6"/>
      <c r="F267" s="7">
        <f t="shared" si="8"/>
      </c>
      <c r="G267" s="7">
        <f t="shared" si="9"/>
      </c>
      <c r="H267" s="7">
        <f>IF($C267="","",IFERROR(INDEX(Impostazioni!$C$9:$C$38,MATCH($C267,Impostazioni!$B$9:$B$38,0)),"?? categoria non trovata"))</f>
      </c>
      <c r="I267"/>
    </row>
    <row r="268" spans="2:9" x14ac:dyDescent="0.3">
      <c r="B268" s="57"/>
      <c r="C268" s="5"/>
      <c r="D268" s="5"/>
      <c r="E268" s="6"/>
      <c r="F268" s="7">
        <f t="shared" si="8"/>
      </c>
      <c r="G268" s="7">
        <f t="shared" si="9"/>
      </c>
      <c r="H268" s="7">
        <f>IF($C268="","",IFERROR(INDEX(Impostazioni!$C$9:$C$38,MATCH($C268,Impostazioni!$B$9:$B$38,0)),"?? categoria non trovata"))</f>
      </c>
      <c r="I268"/>
    </row>
    <row r="269" spans="2:9" x14ac:dyDescent="0.3">
      <c r="B269" s="57"/>
      <c r="C269" s="5"/>
      <c r="D269" s="5"/>
      <c r="E269" s="6"/>
      <c r="F269" s="7">
        <f t="shared" si="8"/>
      </c>
      <c r="G269" s="7">
        <f t="shared" si="9"/>
      </c>
      <c r="H269" s="7">
        <f>IF($C269="","",IFERROR(INDEX(Impostazioni!$C$9:$C$38,MATCH($C269,Impostazioni!$B$9:$B$38,0)),"?? categoria non trovata"))</f>
      </c>
      <c r="I269"/>
    </row>
    <row r="270" spans="2:9" x14ac:dyDescent="0.3">
      <c r="B270" s="57"/>
      <c r="C270" s="5"/>
      <c r="D270" s="5"/>
      <c r="E270" s="6"/>
      <c r="F270" s="7">
        <f t="shared" si="8"/>
      </c>
      <c r="G270" s="7">
        <f t="shared" si="9"/>
      </c>
      <c r="H270" s="7">
        <f>IF($C270="","",IFERROR(INDEX(Impostazioni!$C$9:$C$38,MATCH($C270,Impostazioni!$B$9:$B$38,0)),"?? categoria non trovata"))</f>
      </c>
      <c r="I270"/>
    </row>
    <row r="271" spans="2:9" x14ac:dyDescent="0.3">
      <c r="B271" s="57"/>
      <c r="C271" s="5"/>
      <c r="D271" s="5"/>
      <c r="E271" s="6"/>
      <c r="F271" s="7">
        <f t="shared" si="8"/>
      </c>
      <c r="G271" s="7">
        <f t="shared" si="9"/>
      </c>
      <c r="H271" s="7">
        <f>IF($C271="","",IFERROR(INDEX(Impostazioni!$C$9:$C$38,MATCH($C271,Impostazioni!$B$9:$B$38,0)),"?? categoria non trovata"))</f>
      </c>
      <c r="I271"/>
    </row>
    <row r="272" spans="2:9" x14ac:dyDescent="0.3">
      <c r="B272" s="57"/>
      <c r="C272" s="5"/>
      <c r="D272" s="5"/>
      <c r="E272" s="6"/>
      <c r="F272" s="7">
        <f t="shared" si="8"/>
      </c>
      <c r="G272" s="7">
        <f t="shared" si="9"/>
      </c>
      <c r="H272" s="7">
        <f>IF($C272="","",IFERROR(INDEX(Impostazioni!$C$9:$C$38,MATCH($C272,Impostazioni!$B$9:$B$38,0)),"?? categoria non trovata"))</f>
      </c>
      <c r="I272"/>
    </row>
    <row r="273" spans="2:9" x14ac:dyDescent="0.3">
      <c r="B273" s="57"/>
      <c r="C273" s="5"/>
      <c r="D273" s="5"/>
      <c r="E273" s="6"/>
      <c r="F273" s="7">
        <f t="shared" si="8"/>
      </c>
      <c r="G273" s="7">
        <f t="shared" si="9"/>
      </c>
      <c r="H273" s="7">
        <f>IF($C273="","",IFERROR(INDEX(Impostazioni!$C$9:$C$38,MATCH($C273,Impostazioni!$B$9:$B$38,0)),"?? categoria non trovata"))</f>
      </c>
      <c r="I273"/>
    </row>
    <row r="274" spans="2:9" x14ac:dyDescent="0.3">
      <c r="B274" s="57"/>
      <c r="C274" s="5"/>
      <c r="D274" s="5"/>
      <c r="E274" s="6"/>
      <c r="F274" s="7">
        <f t="shared" si="8"/>
      </c>
      <c r="G274" s="7">
        <f t="shared" si="9"/>
      </c>
      <c r="H274" s="7">
        <f>IF($C274="","",IFERROR(INDEX(Impostazioni!$C$9:$C$38,MATCH($C274,Impostazioni!$B$9:$B$38,0)),"?? categoria non trovata"))</f>
      </c>
      <c r="I274"/>
    </row>
    <row r="275" spans="2:9" x14ac:dyDescent="0.3">
      <c r="B275" s="57"/>
      <c r="C275" s="5"/>
      <c r="D275" s="5"/>
      <c r="E275" s="6"/>
      <c r="F275" s="7">
        <f t="shared" si="8"/>
      </c>
      <c r="G275" s="7">
        <f t="shared" si="9"/>
      </c>
      <c r="H275" s="7">
        <f>IF($C275="","",IFERROR(INDEX(Impostazioni!$C$9:$C$38,MATCH($C275,Impostazioni!$B$9:$B$38,0)),"?? categoria non trovata"))</f>
      </c>
      <c r="I275"/>
    </row>
    <row r="276" spans="2:9" x14ac:dyDescent="0.3">
      <c r="B276" s="57"/>
      <c r="C276" s="5"/>
      <c r="D276" s="5"/>
      <c r="E276" s="6"/>
      <c r="F276" s="7">
        <f t="shared" si="8"/>
      </c>
      <c r="G276" s="7">
        <f t="shared" si="9"/>
      </c>
      <c r="H276" s="7">
        <f>IF($C276="","",IFERROR(INDEX(Impostazioni!$C$9:$C$38,MATCH($C276,Impostazioni!$B$9:$B$38,0)),"?? categoria non trovata"))</f>
      </c>
      <c r="I276"/>
    </row>
    <row r="277" spans="2:9" x14ac:dyDescent="0.3">
      <c r="B277" s="57"/>
      <c r="C277" s="5"/>
      <c r="D277" s="5"/>
      <c r="E277" s="6"/>
      <c r="F277" s="7">
        <f t="shared" si="8"/>
      </c>
      <c r="G277" s="7">
        <f t="shared" si="9"/>
      </c>
      <c r="H277" s="7">
        <f>IF($C277="","",IFERROR(INDEX(Impostazioni!$C$9:$C$38,MATCH($C277,Impostazioni!$B$9:$B$38,0)),"?? categoria non trovata"))</f>
      </c>
      <c r="I277"/>
    </row>
    <row r="278" spans="2:9" x14ac:dyDescent="0.3">
      <c r="B278" s="57"/>
      <c r="C278" s="5"/>
      <c r="D278" s="5"/>
      <c r="E278" s="6"/>
      <c r="F278" s="7">
        <f t="shared" si="8"/>
      </c>
      <c r="G278" s="7">
        <f t="shared" si="9"/>
      </c>
      <c r="H278" s="7">
        <f>IF($C278="","",IFERROR(INDEX(Impostazioni!$C$9:$C$38,MATCH($C278,Impostazioni!$B$9:$B$38,0)),"?? categoria non trovata"))</f>
      </c>
      <c r="I278"/>
    </row>
    <row r="279" spans="2:9" x14ac:dyDescent="0.3">
      <c r="B279" s="57"/>
      <c r="C279" s="5"/>
      <c r="D279" s="5"/>
      <c r="E279" s="6"/>
      <c r="F279" s="7">
        <f t="shared" si="8"/>
      </c>
      <c r="G279" s="7">
        <f t="shared" si="9"/>
      </c>
      <c r="H279" s="7">
        <f>IF($C279="","",IFERROR(INDEX(Impostazioni!$C$9:$C$38,MATCH($C279,Impostazioni!$B$9:$B$38,0)),"?? categoria non trovata"))</f>
      </c>
      <c r="I279"/>
    </row>
    <row r="280" spans="2:9" x14ac:dyDescent="0.3">
      <c r="B280" s="57"/>
      <c r="C280" s="5"/>
      <c r="D280" s="5"/>
      <c r="E280" s="6"/>
      <c r="F280" s="7">
        <f t="shared" si="8"/>
      </c>
      <c r="G280" s="7">
        <f t="shared" si="9"/>
      </c>
      <c r="H280" s="7">
        <f>IF($C280="","",IFERROR(INDEX(Impostazioni!$C$9:$C$38,MATCH($C280,Impostazioni!$B$9:$B$38,0)),"?? categoria non trovata"))</f>
      </c>
      <c r="I280"/>
    </row>
    <row r="281" spans="2:9" x14ac:dyDescent="0.3">
      <c r="B281" s="57"/>
      <c r="C281" s="5"/>
      <c r="D281" s="5"/>
      <c r="E281" s="6"/>
      <c r="F281" s="7">
        <f t="shared" si="8"/>
      </c>
      <c r="G281" s="7">
        <f t="shared" si="9"/>
      </c>
      <c r="H281" s="7">
        <f>IF($C281="","",IFERROR(INDEX(Impostazioni!$C$9:$C$38,MATCH($C281,Impostazioni!$B$9:$B$38,0)),"?? categoria non trovata"))</f>
      </c>
      <c r="I281"/>
    </row>
    <row r="282" spans="2:9" x14ac:dyDescent="0.3">
      <c r="B282" s="57"/>
      <c r="C282" s="5"/>
      <c r="D282" s="5"/>
      <c r="E282" s="6"/>
      <c r="F282" s="7">
        <f t="shared" si="8"/>
      </c>
      <c r="G282" s="7">
        <f t="shared" si="9"/>
      </c>
      <c r="H282" s="7">
        <f>IF($C282="","",IFERROR(INDEX(Impostazioni!$C$9:$C$38,MATCH($C282,Impostazioni!$B$9:$B$38,0)),"?? categoria non trovata"))</f>
      </c>
      <c r="I282"/>
    </row>
    <row r="283" spans="2:9" x14ac:dyDescent="0.3">
      <c r="B283" s="57"/>
      <c r="C283" s="5"/>
      <c r="D283" s="5"/>
      <c r="E283" s="6"/>
      <c r="F283" s="7">
        <f t="shared" si="8"/>
      </c>
      <c r="G283" s="7">
        <f t="shared" si="9"/>
      </c>
      <c r="H283" s="7">
        <f>IF($C283="","",IFERROR(INDEX(Impostazioni!$C$9:$C$38,MATCH($C283,Impostazioni!$B$9:$B$38,0)),"?? categoria non trovata"))</f>
      </c>
      <c r="I283"/>
    </row>
    <row r="284" spans="2:9" x14ac:dyDescent="0.3">
      <c r="B284" s="57"/>
      <c r="C284" s="5"/>
      <c r="D284" s="5"/>
      <c r="E284" s="6"/>
      <c r="F284" s="7">
        <f t="shared" si="8"/>
      </c>
      <c r="G284" s="7">
        <f t="shared" si="9"/>
      </c>
      <c r="H284" s="7">
        <f>IF($C284="","",IFERROR(INDEX(Impostazioni!$C$9:$C$38,MATCH($C284,Impostazioni!$B$9:$B$38,0)),"?? categoria non trovata"))</f>
      </c>
      <c r="I284"/>
    </row>
    <row r="285" spans="2:9" x14ac:dyDescent="0.3">
      <c r="B285" s="57"/>
      <c r="C285" s="5"/>
      <c r="D285" s="5"/>
      <c r="E285" s="6"/>
      <c r="F285" s="7">
        <f t="shared" si="8"/>
      </c>
      <c r="G285" s="7">
        <f t="shared" si="9"/>
      </c>
      <c r="H285" s="7">
        <f>IF($C285="","",IFERROR(INDEX(Impostazioni!$C$9:$C$38,MATCH($C285,Impostazioni!$B$9:$B$38,0)),"?? categoria non trovata"))</f>
      </c>
      <c r="I285"/>
    </row>
    <row r="286" spans="2:9" x14ac:dyDescent="0.3">
      <c r="B286" s="57"/>
      <c r="C286" s="5"/>
      <c r="D286" s="5"/>
      <c r="E286" s="6"/>
      <c r="F286" s="7">
        <f t="shared" si="8"/>
      </c>
      <c r="G286" s="7">
        <f t="shared" si="9"/>
      </c>
      <c r="H286" s="7">
        <f>IF($C286="","",IFERROR(INDEX(Impostazioni!$C$9:$C$38,MATCH($C286,Impostazioni!$B$9:$B$38,0)),"?? categoria non trovata"))</f>
      </c>
      <c r="I286"/>
    </row>
    <row r="287" spans="2:9" x14ac:dyDescent="0.3">
      <c r="B287" s="57"/>
      <c r="C287" s="5"/>
      <c r="D287" s="5"/>
      <c r="E287" s="6"/>
      <c r="F287" s="7">
        <f t="shared" si="8"/>
      </c>
      <c r="G287" s="7">
        <f t="shared" si="9"/>
      </c>
      <c r="H287" s="7">
        <f>IF($C287="","",IFERROR(INDEX(Impostazioni!$C$9:$C$38,MATCH($C287,Impostazioni!$B$9:$B$38,0)),"?? categoria non trovata"))</f>
      </c>
      <c r="I287"/>
    </row>
    <row r="288" spans="2:9" x14ac:dyDescent="0.3">
      <c r="B288" s="57"/>
      <c r="C288" s="5"/>
      <c r="D288" s="5"/>
      <c r="E288" s="6"/>
      <c r="F288" s="7">
        <f t="shared" si="8"/>
      </c>
      <c r="G288" s="7">
        <f t="shared" si="9"/>
      </c>
      <c r="H288" s="7">
        <f>IF($C288="","",IFERROR(INDEX(Impostazioni!$C$9:$C$38,MATCH($C288,Impostazioni!$B$9:$B$38,0)),"?? categoria non trovata"))</f>
      </c>
      <c r="I288"/>
    </row>
    <row r="289" spans="2:9" x14ac:dyDescent="0.3">
      <c r="B289" s="57"/>
      <c r="C289" s="5"/>
      <c r="D289" s="5"/>
      <c r="E289" s="6"/>
      <c r="F289" s="7">
        <f t="shared" si="8"/>
      </c>
      <c r="G289" s="7">
        <f t="shared" si="9"/>
      </c>
      <c r="H289" s="7">
        <f>IF($C289="","",IFERROR(INDEX(Impostazioni!$C$9:$C$38,MATCH($C289,Impostazioni!$B$9:$B$38,0)),"?? categoria non trovata"))</f>
      </c>
      <c r="I289"/>
    </row>
    <row r="290" spans="2:9" x14ac:dyDescent="0.3">
      <c r="B290" s="57"/>
      <c r="C290" s="5"/>
      <c r="D290" s="5"/>
      <c r="E290" s="6"/>
      <c r="F290" s="7">
        <f t="shared" si="8"/>
      </c>
      <c r="G290" s="7">
        <f t="shared" si="9"/>
      </c>
      <c r="H290" s="7">
        <f>IF($C290="","",IFERROR(INDEX(Impostazioni!$C$9:$C$38,MATCH($C290,Impostazioni!$B$9:$B$38,0)),"?? categoria non trovata"))</f>
      </c>
      <c r="I290"/>
    </row>
    <row r="291" spans="2:9" x14ac:dyDescent="0.3">
      <c r="B291" s="57"/>
      <c r="C291" s="5"/>
      <c r="D291" s="5"/>
      <c r="E291" s="6"/>
      <c r="F291" s="7">
        <f t="shared" si="8"/>
      </c>
      <c r="G291" s="7">
        <f t="shared" si="9"/>
      </c>
      <c r="H291" s="7">
        <f>IF($C291="","",IFERROR(INDEX(Impostazioni!$C$9:$C$38,MATCH($C291,Impostazioni!$B$9:$B$38,0)),"?? categoria non trovata"))</f>
      </c>
      <c r="I291"/>
    </row>
    <row r="292" spans="2:9" x14ac:dyDescent="0.3">
      <c r="B292" s="57"/>
      <c r="C292" s="5"/>
      <c r="D292" s="5"/>
      <c r="E292" s="6"/>
      <c r="F292" s="7">
        <f t="shared" si="8"/>
      </c>
      <c r="G292" s="7">
        <f t="shared" si="9"/>
      </c>
      <c r="H292" s="7">
        <f>IF($C292="","",IFERROR(INDEX(Impostazioni!$C$9:$C$38,MATCH($C292,Impostazioni!$B$9:$B$38,0)),"?? categoria non trovata"))</f>
      </c>
      <c r="I292"/>
    </row>
    <row r="293" spans="2:9" x14ac:dyDescent="0.3">
      <c r="B293" s="57"/>
      <c r="C293" s="5"/>
      <c r="D293" s="5"/>
      <c r="E293" s="6"/>
      <c r="F293" s="7">
        <f t="shared" si="8"/>
      </c>
      <c r="G293" s="7">
        <f t="shared" si="9"/>
      </c>
      <c r="H293" s="7">
        <f>IF($C293="","",IFERROR(INDEX(Impostazioni!$C$9:$C$38,MATCH($C293,Impostazioni!$B$9:$B$38,0)),"?? categoria non trovata"))</f>
      </c>
      <c r="I293"/>
    </row>
    <row r="294" spans="2:9" x14ac:dyDescent="0.3">
      <c r="B294" s="57"/>
      <c r="C294" s="5"/>
      <c r="D294" s="5"/>
      <c r="E294" s="6"/>
      <c r="F294" s="7">
        <f t="shared" si="8"/>
      </c>
      <c r="G294" s="7">
        <f t="shared" si="9"/>
      </c>
      <c r="H294" s="7">
        <f>IF($C294="","",IFERROR(INDEX(Impostazioni!$C$9:$C$38,MATCH($C294,Impostazioni!$B$9:$B$38,0)),"?? categoria non trovata"))</f>
      </c>
      <c r="I294"/>
    </row>
    <row r="295" spans="2:9" x14ac:dyDescent="0.3">
      <c r="B295" s="57"/>
      <c r="C295" s="5"/>
      <c r="D295" s="5"/>
      <c r="E295" s="6"/>
      <c r="F295" s="7">
        <f t="shared" si="8"/>
      </c>
      <c r="G295" s="7">
        <f t="shared" si="9"/>
      </c>
      <c r="H295" s="7">
        <f>IF($C295="","",IFERROR(INDEX(Impostazioni!$C$9:$C$38,MATCH($C295,Impostazioni!$B$9:$B$38,0)),"?? categoria non trovata"))</f>
      </c>
      <c r="I295"/>
    </row>
    <row r="296" spans="2:9" x14ac:dyDescent="0.3">
      <c r="B296" s="57"/>
      <c r="C296" s="5"/>
      <c r="D296" s="5"/>
      <c r="E296" s="6"/>
      <c r="F296" s="7">
        <f t="shared" si="8"/>
      </c>
      <c r="G296" s="7">
        <f t="shared" si="9"/>
      </c>
      <c r="H296" s="7">
        <f>IF($C296="","",IFERROR(INDEX(Impostazioni!$C$9:$C$38,MATCH($C296,Impostazioni!$B$9:$B$38,0)),"?? categoria non trovata"))</f>
      </c>
      <c r="I296"/>
    </row>
    <row r="297" spans="2:9" x14ac:dyDescent="0.3">
      <c r="B297" s="57"/>
      <c r="C297" s="5"/>
      <c r="D297" s="5"/>
      <c r="E297" s="6"/>
      <c r="F297" s="7">
        <f t="shared" si="8"/>
      </c>
      <c r="G297" s="7">
        <f t="shared" si="9"/>
      </c>
      <c r="H297" s="7">
        <f>IF($C297="","",IFERROR(INDEX(Impostazioni!$C$9:$C$38,MATCH($C297,Impostazioni!$B$9:$B$38,0)),"?? categoria non trovata"))</f>
      </c>
      <c r="I297"/>
    </row>
    <row r="298" spans="2:9" x14ac:dyDescent="0.3">
      <c r="B298" s="57"/>
      <c r="C298" s="5"/>
      <c r="D298" s="5"/>
      <c r="E298" s="6"/>
      <c r="F298" s="7">
        <f t="shared" si="8"/>
      </c>
      <c r="G298" s="7">
        <f t="shared" si="9"/>
      </c>
      <c r="H298" s="7">
        <f>IF($C298="","",IFERROR(INDEX(Impostazioni!$C$9:$C$38,MATCH($C298,Impostazioni!$B$9:$B$38,0)),"?? categoria non trovata"))</f>
      </c>
      <c r="I298"/>
    </row>
    <row r="299" spans="2:9" x14ac:dyDescent="0.3">
      <c r="B299" s="57"/>
      <c r="C299" s="5"/>
      <c r="D299" s="5"/>
      <c r="E299" s="6"/>
      <c r="F299" s="7">
        <f t="shared" si="8"/>
      </c>
      <c r="G299" s="7">
        <f t="shared" si="9"/>
      </c>
      <c r="H299" s="7">
        <f>IF($C299="","",IFERROR(INDEX(Impostazioni!$C$9:$C$38,MATCH($C299,Impostazioni!$B$9:$B$38,0)),"?? categoria non trovata"))</f>
      </c>
      <c r="I299"/>
    </row>
    <row r="300" spans="2:9" x14ac:dyDescent="0.3">
      <c r="B300" s="57"/>
      <c r="C300" s="5"/>
      <c r="D300" s="5"/>
      <c r="E300" s="6"/>
      <c r="F300" s="7">
        <f t="shared" si="8"/>
      </c>
      <c r="G300" s="7">
        <f t="shared" si="9"/>
      </c>
      <c r="H300" s="7">
        <f>IF($C300="","",IFERROR(INDEX(Impostazioni!$C$9:$C$38,MATCH($C300,Impostazioni!$B$9:$B$38,0)),"?? categoria non trovata"))</f>
      </c>
      <c r="I300"/>
    </row>
    <row r="301" spans="2:9" x14ac:dyDescent="0.3">
      <c r="B301" s="57"/>
      <c r="C301" s="5"/>
      <c r="D301" s="5"/>
      <c r="E301" s="6"/>
      <c r="F301" s="7">
        <f t="shared" si="8"/>
      </c>
      <c r="G301" s="7">
        <f t="shared" si="9"/>
      </c>
      <c r="H301" s="7">
        <f>IF($C301="","",IFERROR(INDEX(Impostazioni!$C$9:$C$38,MATCH($C301,Impostazioni!$B$9:$B$38,0)),"?? categoria non trovata"))</f>
      </c>
      <c r="I301"/>
    </row>
    <row r="302" spans="2:9" x14ac:dyDescent="0.3">
      <c r="B302" s="57"/>
      <c r="C302" s="5"/>
      <c r="D302" s="5"/>
      <c r="E302" s="6"/>
      <c r="F302" s="7">
        <f t="shared" si="8"/>
      </c>
      <c r="G302" s="7">
        <f t="shared" si="9"/>
      </c>
      <c r="H302" s="7">
        <f>IF($C302="","",IFERROR(INDEX(Impostazioni!$C$9:$C$38,MATCH($C302,Impostazioni!$B$9:$B$38,0)),"?? categoria non trovata"))</f>
      </c>
      <c r="I302"/>
    </row>
    <row r="303" spans="2:9" x14ac:dyDescent="0.3">
      <c r="B303" s="57"/>
      <c r="C303" s="5"/>
      <c r="D303" s="5"/>
      <c r="E303" s="6"/>
      <c r="F303" s="7">
        <f t="shared" si="8"/>
      </c>
      <c r="G303" s="7">
        <f t="shared" si="9"/>
      </c>
      <c r="H303" s="7">
        <f>IF($C303="","",IFERROR(INDEX(Impostazioni!$C$9:$C$38,MATCH($C303,Impostazioni!$B$9:$B$38,0)),"?? categoria non trovata"))</f>
      </c>
      <c r="I303"/>
    </row>
    <row r="304" spans="2:9" x14ac:dyDescent="0.3">
      <c r="B304" s="57"/>
      <c r="C304" s="5"/>
      <c r="D304" s="5"/>
      <c r="E304" s="6"/>
      <c r="F304" s="7">
        <f t="shared" si="8"/>
      </c>
      <c r="G304" s="7">
        <f t="shared" si="9"/>
      </c>
      <c r="H304" s="7">
        <f>IF($C304="","",IFERROR(INDEX(Impostazioni!$C$9:$C$38,MATCH($C304,Impostazioni!$B$9:$B$38,0)),"?? categoria non trovata"))</f>
      </c>
      <c r="I304"/>
    </row>
    <row r="305" spans="2:9" x14ac:dyDescent="0.3">
      <c r="B305" s="57"/>
      <c r="C305" s="5"/>
      <c r="D305" s="5"/>
      <c r="E305" s="6"/>
      <c r="F305" s="7">
        <f t="shared" si="8"/>
      </c>
      <c r="G305" s="7">
        <f t="shared" si="9"/>
      </c>
      <c r="H305" s="7">
        <f>IF($C305="","",IFERROR(INDEX(Impostazioni!$C$9:$C$38,MATCH($C305,Impostazioni!$B$9:$B$38,0)),"?? categoria non trovata"))</f>
      </c>
      <c r="I305"/>
    </row>
    <row r="306" spans="2:9" x14ac:dyDescent="0.3">
      <c r="B306" s="57"/>
      <c r="C306" s="5"/>
      <c r="D306" s="5"/>
      <c r="E306" s="6"/>
      <c r="F306" s="7">
        <f t="shared" si="8"/>
      </c>
      <c r="G306" s="7">
        <f t="shared" si="9"/>
      </c>
      <c r="H306" s="7">
        <f>IF($C306="","",IFERROR(INDEX(Impostazioni!$C$9:$C$38,MATCH($C306,Impostazioni!$B$9:$B$38,0)),"?? categoria non trovata"))</f>
      </c>
      <c r="I306"/>
    </row>
    <row r="307" spans="2:9" x14ac:dyDescent="0.3">
      <c r="B307" s="57"/>
      <c r="C307" s="5"/>
      <c r="D307" s="5"/>
      <c r="E307" s="6"/>
      <c r="F307" s="7">
        <f t="shared" si="8"/>
      </c>
      <c r="G307" s="7">
        <f t="shared" si="9"/>
      </c>
      <c r="H307" s="7">
        <f>IF($C307="","",IFERROR(INDEX(Impostazioni!$C$9:$C$38,MATCH($C307,Impostazioni!$B$9:$B$38,0)),"?? categoria non trovata"))</f>
      </c>
      <c r="I307"/>
    </row>
    <row r="308" spans="2:9" x14ac:dyDescent="0.3">
      <c r="B308" s="57"/>
      <c r="C308" s="5"/>
      <c r="D308" s="5"/>
      <c r="E308" s="6"/>
      <c r="F308" s="7">
        <f t="shared" si="8"/>
      </c>
      <c r="G308" s="7">
        <f t="shared" si="9"/>
      </c>
      <c r="H308" s="7">
        <f>IF($C308="","",IFERROR(INDEX(Impostazioni!$C$9:$C$38,MATCH($C308,Impostazioni!$B$9:$B$38,0)),"?? categoria non trovata"))</f>
      </c>
      <c r="I308"/>
    </row>
    <row r="309" spans="2:9" x14ac:dyDescent="0.3">
      <c r="B309" s="57"/>
      <c r="C309" s="5"/>
      <c r="D309" s="5"/>
      <c r="E309" s="6"/>
      <c r="F309" s="7">
        <f t="shared" si="8"/>
      </c>
      <c r="G309" s="7">
        <f t="shared" si="9"/>
      </c>
      <c r="H309" s="7">
        <f>IF($C309="","",IFERROR(INDEX(Impostazioni!$C$9:$C$38,MATCH($C309,Impostazioni!$B$9:$B$38,0)),"?? categoria non trovata"))</f>
      </c>
      <c r="I309"/>
    </row>
    <row r="310" spans="2:9" x14ac:dyDescent="0.3">
      <c r="B310" s="57"/>
      <c r="C310" s="5"/>
      <c r="D310" s="5"/>
      <c r="E310" s="6"/>
      <c r="F310" s="7">
        <f t="shared" si="8"/>
      </c>
      <c r="G310" s="7">
        <f t="shared" si="9"/>
      </c>
      <c r="H310" s="7">
        <f>IF($C310="","",IFERROR(INDEX(Impostazioni!$C$9:$C$38,MATCH($C310,Impostazioni!$B$9:$B$38,0)),"?? categoria non trovata"))</f>
      </c>
      <c r="I310"/>
    </row>
    <row r="311" spans="2:9" x14ac:dyDescent="0.3">
      <c r="B311" s="57"/>
      <c r="C311" s="5"/>
      <c r="D311" s="5"/>
      <c r="E311" s="6"/>
      <c r="F311" s="7">
        <f t="shared" si="8"/>
      </c>
      <c r="G311" s="7">
        <f t="shared" si="9"/>
      </c>
      <c r="H311" s="7">
        <f>IF($C311="","",IFERROR(INDEX(Impostazioni!$C$9:$C$38,MATCH($C311,Impostazioni!$B$9:$B$38,0)),"?? categoria non trovata"))</f>
      </c>
      <c r="I311"/>
    </row>
    <row r="312" spans="2:9" x14ac:dyDescent="0.3">
      <c r="B312" s="57"/>
      <c r="C312" s="5"/>
      <c r="D312" s="5"/>
      <c r="E312" s="6"/>
      <c r="F312" s="7">
        <f t="shared" si="8"/>
      </c>
      <c r="G312" s="7">
        <f t="shared" si="9"/>
      </c>
      <c r="H312" s="7">
        <f>IF($C312="","",IFERROR(INDEX(Impostazioni!$C$9:$C$38,MATCH($C312,Impostazioni!$B$9:$B$38,0)),"?? categoria non trovata"))</f>
      </c>
      <c r="I312"/>
    </row>
    <row r="313" spans="2:9" x14ac:dyDescent="0.3">
      <c r="B313" s="57"/>
      <c r="C313" s="5"/>
      <c r="D313" s="5"/>
      <c r="E313" s="6"/>
      <c r="F313" s="7">
        <f t="shared" si="8"/>
      </c>
      <c r="G313" s="7">
        <f t="shared" si="9"/>
      </c>
      <c r="H313" s="7">
        <f>IF($C313="","",IFERROR(INDEX(Impostazioni!$C$9:$C$38,MATCH($C313,Impostazioni!$B$9:$B$38,0)),"?? categoria non trovata"))</f>
      </c>
      <c r="I313"/>
    </row>
    <row r="314" spans="2:9" x14ac:dyDescent="0.3">
      <c r="B314" s="57"/>
      <c r="C314" s="5"/>
      <c r="D314" s="5"/>
      <c r="E314" s="6"/>
      <c r="F314" s="7">
        <f t="shared" si="8"/>
      </c>
      <c r="G314" s="7">
        <f t="shared" si="9"/>
      </c>
      <c r="H314" s="7">
        <f>IF($C314="","",IFERROR(INDEX(Impostazioni!$C$9:$C$38,MATCH($C314,Impostazioni!$B$9:$B$38,0)),"?? categoria non trovata"))</f>
      </c>
      <c r="I314"/>
    </row>
    <row r="315" spans="2:9" x14ac:dyDescent="0.3">
      <c r="B315" s="57"/>
      <c r="C315" s="5"/>
      <c r="D315" s="5"/>
      <c r="E315" s="6"/>
      <c r="F315" s="7">
        <f t="shared" si="8"/>
      </c>
      <c r="G315" s="7">
        <f t="shared" si="9"/>
      </c>
      <c r="H315" s="7">
        <f>IF($C315="","",IFERROR(INDEX(Impostazioni!$C$9:$C$38,MATCH($C315,Impostazioni!$B$9:$B$38,0)),"?? categoria non trovata"))</f>
      </c>
      <c r="I315"/>
    </row>
    <row r="316" spans="2:9" x14ac:dyDescent="0.3">
      <c r="B316" s="57"/>
      <c r="C316" s="5"/>
      <c r="D316" s="5"/>
      <c r="E316" s="6"/>
      <c r="F316" s="7">
        <f t="shared" si="8"/>
      </c>
      <c r="G316" s="7">
        <f t="shared" si="9"/>
      </c>
      <c r="H316" s="7">
        <f>IF($C316="","",IFERROR(INDEX(Impostazioni!$C$9:$C$38,MATCH($C316,Impostazioni!$B$9:$B$38,0)),"?? categoria non trovata"))</f>
      </c>
      <c r="I316"/>
    </row>
    <row r="317" spans="2:9" x14ac:dyDescent="0.3">
      <c r="B317" s="57"/>
      <c r="C317" s="5"/>
      <c r="D317" s="5"/>
      <c r="E317" s="6"/>
      <c r="F317" s="7">
        <f t="shared" si="8"/>
      </c>
      <c r="G317" s="7">
        <f t="shared" si="9"/>
      </c>
      <c r="H317" s="7">
        <f>IF($C317="","",IFERROR(INDEX(Impostazioni!$C$9:$C$38,MATCH($C317,Impostazioni!$B$9:$B$38,0)),"?? categoria non trovata"))</f>
      </c>
      <c r="I317"/>
    </row>
    <row r="318" spans="2:9" x14ac:dyDescent="0.3">
      <c r="B318" s="57"/>
      <c r="C318" s="5"/>
      <c r="D318" s="5"/>
      <c r="E318" s="6"/>
      <c r="F318" s="7">
        <f t="shared" si="8"/>
      </c>
      <c r="G318" s="7">
        <f t="shared" si="9"/>
      </c>
      <c r="H318" s="7">
        <f>IF($C318="","",IFERROR(INDEX(Impostazioni!$C$9:$C$38,MATCH($C318,Impostazioni!$B$9:$B$38,0)),"?? categoria non trovata"))</f>
      </c>
      <c r="I318"/>
    </row>
    <row r="319" spans="2:9" x14ac:dyDescent="0.3">
      <c r="B319" s="57"/>
      <c r="C319" s="5"/>
      <c r="D319" s="5"/>
      <c r="E319" s="6"/>
      <c r="F319" s="7">
        <f t="shared" si="8"/>
      </c>
      <c r="G319" s="7">
        <f t="shared" si="9"/>
      </c>
      <c r="H319" s="7">
        <f>IF($C319="","",IFERROR(INDEX(Impostazioni!$C$9:$C$38,MATCH($C319,Impostazioni!$B$9:$B$38,0)),"?? categoria non trovata"))</f>
      </c>
      <c r="I319"/>
    </row>
    <row r="320" spans="2:9" x14ac:dyDescent="0.3">
      <c r="B320" s="57"/>
      <c r="C320" s="5"/>
      <c r="D320" s="5"/>
      <c r="E320" s="6"/>
      <c r="F320" s="7">
        <f t="shared" si="8"/>
      </c>
      <c r="G320" s="7">
        <f t="shared" si="9"/>
      </c>
      <c r="H320" s="7">
        <f>IF($C320="","",IFERROR(INDEX(Impostazioni!$C$9:$C$38,MATCH($C320,Impostazioni!$B$9:$B$38,0)),"?? categoria non trovata"))</f>
      </c>
      <c r="I320"/>
    </row>
    <row r="321" spans="2:9" x14ac:dyDescent="0.3">
      <c r="B321" s="57"/>
      <c r="C321" s="5"/>
      <c r="D321" s="5"/>
      <c r="E321" s="6"/>
      <c r="F321" s="7">
        <f t="shared" si="8"/>
      </c>
      <c r="G321" s="7">
        <f t="shared" si="9"/>
      </c>
      <c r="H321" s="7">
        <f>IF($C321="","",IFERROR(INDEX(Impostazioni!$C$9:$C$38,MATCH($C321,Impostazioni!$B$9:$B$38,0)),"?? categoria non trovata"))</f>
      </c>
      <c r="I321"/>
    </row>
    <row r="322" spans="2:9" x14ac:dyDescent="0.3">
      <c r="B322" s="57"/>
      <c r="C322" s="5"/>
      <c r="D322" s="5"/>
      <c r="E322" s="6"/>
      <c r="F322" s="7">
        <f t="shared" si="8"/>
      </c>
      <c r="G322" s="7">
        <f t="shared" si="9"/>
      </c>
      <c r="H322" s="7">
        <f>IF($C322="","",IFERROR(INDEX(Impostazioni!$C$9:$C$38,MATCH($C322,Impostazioni!$B$9:$B$38,0)),"?? categoria non trovata"))</f>
      </c>
      <c r="I322"/>
    </row>
    <row r="323" spans="2:9" x14ac:dyDescent="0.3">
      <c r="B323" s="57"/>
      <c r="C323" s="5"/>
      <c r="D323" s="5"/>
      <c r="E323" s="6"/>
      <c r="F323" s="7">
        <f t="shared" si="8"/>
      </c>
      <c r="G323" s="7">
        <f t="shared" si="9"/>
      </c>
      <c r="H323" s="7">
        <f>IF($C323="","",IFERROR(INDEX(Impostazioni!$C$9:$C$38,MATCH($C323,Impostazioni!$B$9:$B$38,0)),"?? categoria non trovata"))</f>
      </c>
      <c r="I323"/>
    </row>
    <row r="324" spans="2:9" x14ac:dyDescent="0.3">
      <c r="B324" s="57"/>
      <c r="C324" s="5"/>
      <c r="D324" s="5"/>
      <c r="E324" s="6"/>
      <c r="F324" s="7">
        <f t="shared" si="8"/>
      </c>
      <c r="G324" s="7">
        <f t="shared" si="9"/>
      </c>
      <c r="H324" s="7">
        <f>IF($C324="","",IFERROR(INDEX(Impostazioni!$C$9:$C$38,MATCH($C324,Impostazioni!$B$9:$B$38,0)),"?? categoria non trovata"))</f>
      </c>
      <c r="I324"/>
    </row>
    <row r="325" spans="2:9" x14ac:dyDescent="0.3">
      <c r="B325" s="57"/>
      <c r="C325" s="5"/>
      <c r="D325" s="5"/>
      <c r="E325" s="6"/>
      <c r="F325" s="7">
        <f t="shared" ref="F325:F388" si="10">IF($B325="","",MONTH($B325))</f>
      </c>
      <c r="G325" s="7">
        <f t="shared" ref="G325:G388" si="11">IF($B325="","",YEAR($B325))</f>
      </c>
      <c r="H325" s="7">
        <f>IF($C325="","",IFERROR(INDEX(Impostazioni!$C$9:$C$38,MATCH($C325,Impostazioni!$B$9:$B$38,0)),"?? categoria non trovata"))</f>
      </c>
      <c r="I325"/>
    </row>
    <row r="326" spans="2:9" x14ac:dyDescent="0.3">
      <c r="B326" s="57"/>
      <c r="C326" s="5"/>
      <c r="D326" s="5"/>
      <c r="E326" s="6"/>
      <c r="F326" s="7">
        <f t="shared" si="10"/>
      </c>
      <c r="G326" s="7">
        <f t="shared" si="11"/>
      </c>
      <c r="H326" s="7">
        <f>IF($C326="","",IFERROR(INDEX(Impostazioni!$C$9:$C$38,MATCH($C326,Impostazioni!$B$9:$B$38,0)),"?? categoria non trovata"))</f>
      </c>
      <c r="I326"/>
    </row>
    <row r="327" spans="2:9" x14ac:dyDescent="0.3">
      <c r="B327" s="57"/>
      <c r="C327" s="5"/>
      <c r="D327" s="5"/>
      <c r="E327" s="6"/>
      <c r="F327" s="7">
        <f t="shared" si="10"/>
      </c>
      <c r="G327" s="7">
        <f t="shared" si="11"/>
      </c>
      <c r="H327" s="7">
        <f>IF($C327="","",IFERROR(INDEX(Impostazioni!$C$9:$C$38,MATCH($C327,Impostazioni!$B$9:$B$38,0)),"?? categoria non trovata"))</f>
      </c>
      <c r="I327"/>
    </row>
    <row r="328" spans="2:9" x14ac:dyDescent="0.3">
      <c r="B328" s="57"/>
      <c r="C328" s="5"/>
      <c r="D328" s="5"/>
      <c r="E328" s="6"/>
      <c r="F328" s="7">
        <f t="shared" si="10"/>
      </c>
      <c r="G328" s="7">
        <f t="shared" si="11"/>
      </c>
      <c r="H328" s="7">
        <f>IF($C328="","",IFERROR(INDEX(Impostazioni!$C$9:$C$38,MATCH($C328,Impostazioni!$B$9:$B$38,0)),"?? categoria non trovata"))</f>
      </c>
      <c r="I328"/>
    </row>
    <row r="329" spans="2:9" x14ac:dyDescent="0.3">
      <c r="B329" s="57"/>
      <c r="C329" s="5"/>
      <c r="D329" s="5"/>
      <c r="E329" s="6"/>
      <c r="F329" s="7">
        <f t="shared" si="10"/>
      </c>
      <c r="G329" s="7">
        <f t="shared" si="11"/>
      </c>
      <c r="H329" s="7">
        <f>IF($C329="","",IFERROR(INDEX(Impostazioni!$C$9:$C$38,MATCH($C329,Impostazioni!$B$9:$B$38,0)),"?? categoria non trovata"))</f>
      </c>
      <c r="I329"/>
    </row>
    <row r="330" spans="2:9" x14ac:dyDescent="0.3">
      <c r="B330" s="57"/>
      <c r="C330" s="5"/>
      <c r="D330" s="5"/>
      <c r="E330" s="6"/>
      <c r="F330" s="7">
        <f t="shared" si="10"/>
      </c>
      <c r="G330" s="7">
        <f t="shared" si="11"/>
      </c>
      <c r="H330" s="7">
        <f>IF($C330="","",IFERROR(INDEX(Impostazioni!$C$9:$C$38,MATCH($C330,Impostazioni!$B$9:$B$38,0)),"?? categoria non trovata"))</f>
      </c>
      <c r="I330"/>
    </row>
    <row r="331" spans="2:9" x14ac:dyDescent="0.3">
      <c r="B331" s="57"/>
      <c r="C331" s="5"/>
      <c r="D331" s="5"/>
      <c r="E331" s="6"/>
      <c r="F331" s="7">
        <f t="shared" si="10"/>
      </c>
      <c r="G331" s="7">
        <f t="shared" si="11"/>
      </c>
      <c r="H331" s="7">
        <f>IF($C331="","",IFERROR(INDEX(Impostazioni!$C$9:$C$38,MATCH($C331,Impostazioni!$B$9:$B$38,0)),"?? categoria non trovata"))</f>
      </c>
      <c r="I331"/>
    </row>
    <row r="332" spans="2:9" x14ac:dyDescent="0.3">
      <c r="B332" s="57"/>
      <c r="C332" s="5"/>
      <c r="D332" s="5"/>
      <c r="E332" s="6"/>
      <c r="F332" s="7">
        <f t="shared" si="10"/>
      </c>
      <c r="G332" s="7">
        <f t="shared" si="11"/>
      </c>
      <c r="H332" s="7">
        <f>IF($C332="","",IFERROR(INDEX(Impostazioni!$C$9:$C$38,MATCH($C332,Impostazioni!$B$9:$B$38,0)),"?? categoria non trovata"))</f>
      </c>
      <c r="I332"/>
    </row>
    <row r="333" spans="2:9" x14ac:dyDescent="0.3">
      <c r="B333" s="57"/>
      <c r="C333" s="5"/>
      <c r="D333" s="5"/>
      <c r="E333" s="6"/>
      <c r="F333" s="7">
        <f t="shared" si="10"/>
      </c>
      <c r="G333" s="7">
        <f t="shared" si="11"/>
      </c>
      <c r="H333" s="7">
        <f>IF($C333="","",IFERROR(INDEX(Impostazioni!$C$9:$C$38,MATCH($C333,Impostazioni!$B$9:$B$38,0)),"?? categoria non trovata"))</f>
      </c>
      <c r="I333"/>
    </row>
    <row r="334" spans="2:9" x14ac:dyDescent="0.3">
      <c r="B334" s="57"/>
      <c r="C334" s="5"/>
      <c r="D334" s="5"/>
      <c r="E334" s="6"/>
      <c r="F334" s="7">
        <f t="shared" si="10"/>
      </c>
      <c r="G334" s="7">
        <f t="shared" si="11"/>
      </c>
      <c r="H334" s="7">
        <f>IF($C334="","",IFERROR(INDEX(Impostazioni!$C$9:$C$38,MATCH($C334,Impostazioni!$B$9:$B$38,0)),"?? categoria non trovata"))</f>
      </c>
      <c r="I334"/>
    </row>
    <row r="335" spans="2:9" x14ac:dyDescent="0.3">
      <c r="B335" s="57"/>
      <c r="C335" s="5"/>
      <c r="D335" s="5"/>
      <c r="E335" s="6"/>
      <c r="F335" s="7">
        <f t="shared" si="10"/>
      </c>
      <c r="G335" s="7">
        <f t="shared" si="11"/>
      </c>
      <c r="H335" s="7">
        <f>IF($C335="","",IFERROR(INDEX(Impostazioni!$C$9:$C$38,MATCH($C335,Impostazioni!$B$9:$B$38,0)),"?? categoria non trovata"))</f>
      </c>
      <c r="I335"/>
    </row>
    <row r="336" spans="2:9" x14ac:dyDescent="0.3">
      <c r="B336" s="57"/>
      <c r="C336" s="5"/>
      <c r="D336" s="5"/>
      <c r="E336" s="6"/>
      <c r="F336" s="7">
        <f t="shared" si="10"/>
      </c>
      <c r="G336" s="7">
        <f t="shared" si="11"/>
      </c>
      <c r="H336" s="7">
        <f>IF($C336="","",IFERROR(INDEX(Impostazioni!$C$9:$C$38,MATCH($C336,Impostazioni!$B$9:$B$38,0)),"?? categoria non trovata"))</f>
      </c>
      <c r="I336"/>
    </row>
    <row r="337" spans="2:9" x14ac:dyDescent="0.3">
      <c r="B337" s="57"/>
      <c r="C337" s="5"/>
      <c r="D337" s="5"/>
      <c r="E337" s="6"/>
      <c r="F337" s="7">
        <f t="shared" si="10"/>
      </c>
      <c r="G337" s="7">
        <f t="shared" si="11"/>
      </c>
      <c r="H337" s="7">
        <f>IF($C337="","",IFERROR(INDEX(Impostazioni!$C$9:$C$38,MATCH($C337,Impostazioni!$B$9:$B$38,0)),"?? categoria non trovata"))</f>
      </c>
      <c r="I337"/>
    </row>
    <row r="338" spans="2:9" x14ac:dyDescent="0.3">
      <c r="B338" s="57"/>
      <c r="C338" s="5"/>
      <c r="D338" s="5"/>
      <c r="E338" s="6"/>
      <c r="F338" s="7">
        <f t="shared" si="10"/>
      </c>
      <c r="G338" s="7">
        <f t="shared" si="11"/>
      </c>
      <c r="H338" s="7">
        <f>IF($C338="","",IFERROR(INDEX(Impostazioni!$C$9:$C$38,MATCH($C338,Impostazioni!$B$9:$B$38,0)),"?? categoria non trovata"))</f>
      </c>
      <c r="I338"/>
    </row>
    <row r="339" spans="2:9" x14ac:dyDescent="0.3">
      <c r="B339" s="57"/>
      <c r="C339" s="5"/>
      <c r="D339" s="5"/>
      <c r="E339" s="6"/>
      <c r="F339" s="7">
        <f t="shared" si="10"/>
      </c>
      <c r="G339" s="7">
        <f t="shared" si="11"/>
      </c>
      <c r="H339" s="7">
        <f>IF($C339="","",IFERROR(INDEX(Impostazioni!$C$9:$C$38,MATCH($C339,Impostazioni!$B$9:$B$38,0)),"?? categoria non trovata"))</f>
      </c>
      <c r="I339"/>
    </row>
    <row r="340" spans="2:9" x14ac:dyDescent="0.3">
      <c r="B340" s="57"/>
      <c r="C340" s="5"/>
      <c r="D340" s="5"/>
      <c r="E340" s="6"/>
      <c r="F340" s="7">
        <f t="shared" si="10"/>
      </c>
      <c r="G340" s="7">
        <f t="shared" si="11"/>
      </c>
      <c r="H340" s="7">
        <f>IF($C340="","",IFERROR(INDEX(Impostazioni!$C$9:$C$38,MATCH($C340,Impostazioni!$B$9:$B$38,0)),"?? categoria non trovata"))</f>
      </c>
      <c r="I340"/>
    </row>
    <row r="341" spans="2:9" x14ac:dyDescent="0.3">
      <c r="B341" s="57"/>
      <c r="C341" s="5"/>
      <c r="D341" s="5"/>
      <c r="E341" s="6"/>
      <c r="F341" s="7">
        <f t="shared" si="10"/>
      </c>
      <c r="G341" s="7">
        <f t="shared" si="11"/>
      </c>
      <c r="H341" s="7">
        <f>IF($C341="","",IFERROR(INDEX(Impostazioni!$C$9:$C$38,MATCH($C341,Impostazioni!$B$9:$B$38,0)),"?? categoria non trovata"))</f>
      </c>
      <c r="I341"/>
    </row>
    <row r="342" spans="2:9" x14ac:dyDescent="0.3">
      <c r="B342" s="57"/>
      <c r="C342" s="5"/>
      <c r="D342" s="5"/>
      <c r="E342" s="6"/>
      <c r="F342" s="7">
        <f t="shared" si="10"/>
      </c>
      <c r="G342" s="7">
        <f t="shared" si="11"/>
      </c>
      <c r="H342" s="7">
        <f>IF($C342="","",IFERROR(INDEX(Impostazioni!$C$9:$C$38,MATCH($C342,Impostazioni!$B$9:$B$38,0)),"?? categoria non trovata"))</f>
      </c>
      <c r="I342"/>
    </row>
    <row r="343" spans="2:9" x14ac:dyDescent="0.3">
      <c r="B343" s="57"/>
      <c r="C343" s="5"/>
      <c r="D343" s="5"/>
      <c r="E343" s="6"/>
      <c r="F343" s="7">
        <f t="shared" si="10"/>
      </c>
      <c r="G343" s="7">
        <f t="shared" si="11"/>
      </c>
      <c r="H343" s="7">
        <f>IF($C343="","",IFERROR(INDEX(Impostazioni!$C$9:$C$38,MATCH($C343,Impostazioni!$B$9:$B$38,0)),"?? categoria non trovata"))</f>
      </c>
      <c r="I343"/>
    </row>
    <row r="344" spans="2:9" x14ac:dyDescent="0.3">
      <c r="B344" s="57"/>
      <c r="C344" s="5"/>
      <c r="D344" s="5"/>
      <c r="E344" s="6"/>
      <c r="F344" s="7">
        <f t="shared" si="10"/>
      </c>
      <c r="G344" s="7">
        <f t="shared" si="11"/>
      </c>
      <c r="H344" s="7">
        <f>IF($C344="","",IFERROR(INDEX(Impostazioni!$C$9:$C$38,MATCH($C344,Impostazioni!$B$9:$B$38,0)),"?? categoria non trovata"))</f>
      </c>
      <c r="I344"/>
    </row>
    <row r="345" spans="2:9" x14ac:dyDescent="0.3">
      <c r="B345" s="57"/>
      <c r="C345" s="5"/>
      <c r="D345" s="5"/>
      <c r="E345" s="6"/>
      <c r="F345" s="7">
        <f t="shared" si="10"/>
      </c>
      <c r="G345" s="7">
        <f t="shared" si="11"/>
      </c>
      <c r="H345" s="7">
        <f>IF($C345="","",IFERROR(INDEX(Impostazioni!$C$9:$C$38,MATCH($C345,Impostazioni!$B$9:$B$38,0)),"?? categoria non trovata"))</f>
      </c>
      <c r="I345"/>
    </row>
    <row r="346" spans="2:9" x14ac:dyDescent="0.3">
      <c r="B346" s="57"/>
      <c r="C346" s="5"/>
      <c r="D346" s="5"/>
      <c r="E346" s="6"/>
      <c r="F346" s="7">
        <f t="shared" si="10"/>
      </c>
      <c r="G346" s="7">
        <f t="shared" si="11"/>
      </c>
      <c r="H346" s="7">
        <f>IF($C346="","",IFERROR(INDEX(Impostazioni!$C$9:$C$38,MATCH($C346,Impostazioni!$B$9:$B$38,0)),"?? categoria non trovata"))</f>
      </c>
      <c r="I346"/>
    </row>
    <row r="347" spans="2:9" x14ac:dyDescent="0.3">
      <c r="B347" s="57"/>
      <c r="C347" s="5"/>
      <c r="D347" s="5"/>
      <c r="E347" s="6"/>
      <c r="F347" s="7">
        <f t="shared" si="10"/>
      </c>
      <c r="G347" s="7">
        <f t="shared" si="11"/>
      </c>
      <c r="H347" s="7">
        <f>IF($C347="","",IFERROR(INDEX(Impostazioni!$C$9:$C$38,MATCH($C347,Impostazioni!$B$9:$B$38,0)),"?? categoria non trovata"))</f>
      </c>
      <c r="I347"/>
    </row>
    <row r="348" spans="2:9" x14ac:dyDescent="0.3">
      <c r="B348" s="57"/>
      <c r="C348" s="5"/>
      <c r="D348" s="5"/>
      <c r="E348" s="6"/>
      <c r="F348" s="7">
        <f t="shared" si="10"/>
      </c>
      <c r="G348" s="7">
        <f t="shared" si="11"/>
      </c>
      <c r="H348" s="7">
        <f>IF($C348="","",IFERROR(INDEX(Impostazioni!$C$9:$C$38,MATCH($C348,Impostazioni!$B$9:$B$38,0)),"?? categoria non trovata"))</f>
      </c>
      <c r="I348"/>
    </row>
    <row r="349" spans="2:9" x14ac:dyDescent="0.3">
      <c r="B349" s="57"/>
      <c r="C349" s="5"/>
      <c r="D349" s="5"/>
      <c r="E349" s="6"/>
      <c r="F349" s="7">
        <f t="shared" si="10"/>
      </c>
      <c r="G349" s="7">
        <f t="shared" si="11"/>
      </c>
      <c r="H349" s="7">
        <f>IF($C349="","",IFERROR(INDEX(Impostazioni!$C$9:$C$38,MATCH($C349,Impostazioni!$B$9:$B$38,0)),"?? categoria non trovata"))</f>
      </c>
      <c r="I349"/>
    </row>
    <row r="350" spans="2:9" x14ac:dyDescent="0.3">
      <c r="B350" s="57"/>
      <c r="C350" s="5"/>
      <c r="D350" s="5"/>
      <c r="E350" s="6"/>
      <c r="F350" s="7">
        <f t="shared" si="10"/>
      </c>
      <c r="G350" s="7">
        <f t="shared" si="11"/>
      </c>
      <c r="H350" s="7">
        <f>IF($C350="","",IFERROR(INDEX(Impostazioni!$C$9:$C$38,MATCH($C350,Impostazioni!$B$9:$B$38,0)),"?? categoria non trovata"))</f>
      </c>
      <c r="I350"/>
    </row>
    <row r="351" spans="2:9" x14ac:dyDescent="0.3">
      <c r="B351" s="57"/>
      <c r="C351" s="5"/>
      <c r="D351" s="5"/>
      <c r="E351" s="6"/>
      <c r="F351" s="7">
        <f t="shared" si="10"/>
      </c>
      <c r="G351" s="7">
        <f t="shared" si="11"/>
      </c>
      <c r="H351" s="7">
        <f>IF($C351="","",IFERROR(INDEX(Impostazioni!$C$9:$C$38,MATCH($C351,Impostazioni!$B$9:$B$38,0)),"?? categoria non trovata"))</f>
      </c>
      <c r="I351"/>
    </row>
    <row r="352" spans="2:9" x14ac:dyDescent="0.3">
      <c r="B352" s="57"/>
      <c r="C352" s="5"/>
      <c r="D352" s="5"/>
      <c r="E352" s="6"/>
      <c r="F352" s="7">
        <f t="shared" si="10"/>
      </c>
      <c r="G352" s="7">
        <f t="shared" si="11"/>
      </c>
      <c r="H352" s="7">
        <f>IF($C352="","",IFERROR(INDEX(Impostazioni!$C$9:$C$38,MATCH($C352,Impostazioni!$B$9:$B$38,0)),"?? categoria non trovata"))</f>
      </c>
      <c r="I352"/>
    </row>
    <row r="353" spans="2:9" x14ac:dyDescent="0.3">
      <c r="B353" s="57"/>
      <c r="C353" s="5"/>
      <c r="D353" s="5"/>
      <c r="E353" s="6"/>
      <c r="F353" s="7">
        <f t="shared" si="10"/>
      </c>
      <c r="G353" s="7">
        <f t="shared" si="11"/>
      </c>
      <c r="H353" s="7">
        <f>IF($C353="","",IFERROR(INDEX(Impostazioni!$C$9:$C$38,MATCH($C353,Impostazioni!$B$9:$B$38,0)),"?? categoria non trovata"))</f>
      </c>
      <c r="I353"/>
    </row>
    <row r="354" spans="2:9" x14ac:dyDescent="0.3">
      <c r="B354" s="57"/>
      <c r="C354" s="5"/>
      <c r="D354" s="5"/>
      <c r="E354" s="6"/>
      <c r="F354" s="7">
        <f t="shared" si="10"/>
      </c>
      <c r="G354" s="7">
        <f t="shared" si="11"/>
      </c>
      <c r="H354" s="7">
        <f>IF($C354="","",IFERROR(INDEX(Impostazioni!$C$9:$C$38,MATCH($C354,Impostazioni!$B$9:$B$38,0)),"?? categoria non trovata"))</f>
      </c>
      <c r="I354"/>
    </row>
    <row r="355" spans="2:9" x14ac:dyDescent="0.3">
      <c r="B355" s="57"/>
      <c r="C355" s="5"/>
      <c r="D355" s="5"/>
      <c r="E355" s="6"/>
      <c r="F355" s="7">
        <f t="shared" si="10"/>
      </c>
      <c r="G355" s="7">
        <f t="shared" si="11"/>
      </c>
      <c r="H355" s="7">
        <f>IF($C355="","",IFERROR(INDEX(Impostazioni!$C$9:$C$38,MATCH($C355,Impostazioni!$B$9:$B$38,0)),"?? categoria non trovata"))</f>
      </c>
      <c r="I355"/>
    </row>
    <row r="356" spans="2:9" x14ac:dyDescent="0.3">
      <c r="B356" s="57"/>
      <c r="C356" s="5"/>
      <c r="D356" s="5"/>
      <c r="E356" s="6"/>
      <c r="F356" s="7">
        <f t="shared" si="10"/>
      </c>
      <c r="G356" s="7">
        <f t="shared" si="11"/>
      </c>
      <c r="H356" s="7">
        <f>IF($C356="","",IFERROR(INDEX(Impostazioni!$C$9:$C$38,MATCH($C356,Impostazioni!$B$9:$B$38,0)),"?? categoria non trovata"))</f>
      </c>
      <c r="I356"/>
    </row>
    <row r="357" spans="2:9" x14ac:dyDescent="0.3">
      <c r="B357" s="57"/>
      <c r="C357" s="5"/>
      <c r="D357" s="5"/>
      <c r="E357" s="6"/>
      <c r="F357" s="7">
        <f t="shared" si="10"/>
      </c>
      <c r="G357" s="7">
        <f t="shared" si="11"/>
      </c>
      <c r="H357" s="7">
        <f>IF($C357="","",IFERROR(INDEX(Impostazioni!$C$9:$C$38,MATCH($C357,Impostazioni!$B$9:$B$38,0)),"?? categoria non trovata"))</f>
      </c>
      <c r="I357"/>
    </row>
    <row r="358" spans="2:9" x14ac:dyDescent="0.3">
      <c r="B358" s="57"/>
      <c r="C358" s="5"/>
      <c r="D358" s="5"/>
      <c r="E358" s="6"/>
      <c r="F358" s="7">
        <f t="shared" si="10"/>
      </c>
      <c r="G358" s="7">
        <f t="shared" si="11"/>
      </c>
      <c r="H358" s="7">
        <f>IF($C358="","",IFERROR(INDEX(Impostazioni!$C$9:$C$38,MATCH($C358,Impostazioni!$B$9:$B$38,0)),"?? categoria non trovata"))</f>
      </c>
      <c r="I358"/>
    </row>
    <row r="359" spans="2:9" x14ac:dyDescent="0.3">
      <c r="B359" s="57"/>
      <c r="C359" s="5"/>
      <c r="D359" s="5"/>
      <c r="E359" s="6"/>
      <c r="F359" s="7">
        <f t="shared" si="10"/>
      </c>
      <c r="G359" s="7">
        <f t="shared" si="11"/>
      </c>
      <c r="H359" s="7">
        <f>IF($C359="","",IFERROR(INDEX(Impostazioni!$C$9:$C$38,MATCH($C359,Impostazioni!$B$9:$B$38,0)),"?? categoria non trovata"))</f>
      </c>
      <c r="I359"/>
    </row>
    <row r="360" spans="2:9" x14ac:dyDescent="0.3">
      <c r="B360" s="57"/>
      <c r="C360" s="5"/>
      <c r="D360" s="5"/>
      <c r="E360" s="6"/>
      <c r="F360" s="7">
        <f t="shared" si="10"/>
      </c>
      <c r="G360" s="7">
        <f t="shared" si="11"/>
      </c>
      <c r="H360" s="7">
        <f>IF($C360="","",IFERROR(INDEX(Impostazioni!$C$9:$C$38,MATCH($C360,Impostazioni!$B$9:$B$38,0)),"?? categoria non trovata"))</f>
      </c>
      <c r="I360"/>
    </row>
    <row r="361" spans="2:9" x14ac:dyDescent="0.3">
      <c r="B361" s="57"/>
      <c r="C361" s="5"/>
      <c r="D361" s="5"/>
      <c r="E361" s="6"/>
      <c r="F361" s="7">
        <f t="shared" si="10"/>
      </c>
      <c r="G361" s="7">
        <f t="shared" si="11"/>
      </c>
      <c r="H361" s="7">
        <f>IF($C361="","",IFERROR(INDEX(Impostazioni!$C$9:$C$38,MATCH($C361,Impostazioni!$B$9:$B$38,0)),"?? categoria non trovata"))</f>
      </c>
      <c r="I361"/>
    </row>
    <row r="362" spans="2:9" x14ac:dyDescent="0.3">
      <c r="B362" s="57"/>
      <c r="C362" s="5"/>
      <c r="D362" s="5"/>
      <c r="E362" s="6"/>
      <c r="F362" s="7">
        <f t="shared" si="10"/>
      </c>
      <c r="G362" s="7">
        <f t="shared" si="11"/>
      </c>
      <c r="H362" s="7">
        <f>IF($C362="","",IFERROR(INDEX(Impostazioni!$C$9:$C$38,MATCH($C362,Impostazioni!$B$9:$B$38,0)),"?? categoria non trovata"))</f>
      </c>
      <c r="I362"/>
    </row>
    <row r="363" spans="2:9" x14ac:dyDescent="0.3">
      <c r="B363" s="57"/>
      <c r="C363" s="5"/>
      <c r="D363" s="5"/>
      <c r="E363" s="6"/>
      <c r="F363" s="7">
        <f t="shared" si="10"/>
      </c>
      <c r="G363" s="7">
        <f t="shared" si="11"/>
      </c>
      <c r="H363" s="7">
        <f>IF($C363="","",IFERROR(INDEX(Impostazioni!$C$9:$C$38,MATCH($C363,Impostazioni!$B$9:$B$38,0)),"?? categoria non trovata"))</f>
      </c>
      <c r="I363"/>
    </row>
    <row r="364" spans="2:9" x14ac:dyDescent="0.3">
      <c r="B364" s="57"/>
      <c r="C364" s="5"/>
      <c r="D364" s="5"/>
      <c r="E364" s="6"/>
      <c r="F364" s="7">
        <f t="shared" si="10"/>
      </c>
      <c r="G364" s="7">
        <f t="shared" si="11"/>
      </c>
      <c r="H364" s="7">
        <f>IF($C364="","",IFERROR(INDEX(Impostazioni!$C$9:$C$38,MATCH($C364,Impostazioni!$B$9:$B$38,0)),"?? categoria non trovata"))</f>
      </c>
      <c r="I364"/>
    </row>
    <row r="365" spans="2:9" x14ac:dyDescent="0.3">
      <c r="B365" s="57"/>
      <c r="C365" s="5"/>
      <c r="D365" s="5"/>
      <c r="E365" s="6"/>
      <c r="F365" s="7">
        <f t="shared" si="10"/>
      </c>
      <c r="G365" s="7">
        <f t="shared" si="11"/>
      </c>
      <c r="H365" s="7">
        <f>IF($C365="","",IFERROR(INDEX(Impostazioni!$C$9:$C$38,MATCH($C365,Impostazioni!$B$9:$B$38,0)),"?? categoria non trovata"))</f>
      </c>
      <c r="I365"/>
    </row>
    <row r="366" spans="2:9" x14ac:dyDescent="0.3">
      <c r="B366" s="57"/>
      <c r="C366" s="5"/>
      <c r="D366" s="5"/>
      <c r="E366" s="6"/>
      <c r="F366" s="7">
        <f t="shared" si="10"/>
      </c>
      <c r="G366" s="7">
        <f t="shared" si="11"/>
      </c>
      <c r="H366" s="7">
        <f>IF($C366="","",IFERROR(INDEX(Impostazioni!$C$9:$C$38,MATCH($C366,Impostazioni!$B$9:$B$38,0)),"?? categoria non trovata"))</f>
      </c>
      <c r="I366"/>
    </row>
    <row r="367" spans="2:9" x14ac:dyDescent="0.3">
      <c r="B367" s="57"/>
      <c r="C367" s="5"/>
      <c r="D367" s="5"/>
      <c r="E367" s="6"/>
      <c r="F367" s="7">
        <f t="shared" si="10"/>
      </c>
      <c r="G367" s="7">
        <f t="shared" si="11"/>
      </c>
      <c r="H367" s="7">
        <f>IF($C367="","",IFERROR(INDEX(Impostazioni!$C$9:$C$38,MATCH($C367,Impostazioni!$B$9:$B$38,0)),"?? categoria non trovata"))</f>
      </c>
      <c r="I367"/>
    </row>
    <row r="368" spans="2:9" x14ac:dyDescent="0.3">
      <c r="B368" s="57"/>
      <c r="C368" s="5"/>
      <c r="D368" s="5"/>
      <c r="E368" s="6"/>
      <c r="F368" s="7">
        <f t="shared" si="10"/>
      </c>
      <c r="G368" s="7">
        <f t="shared" si="11"/>
      </c>
      <c r="H368" s="7">
        <f>IF($C368="","",IFERROR(INDEX(Impostazioni!$C$9:$C$38,MATCH($C368,Impostazioni!$B$9:$B$38,0)),"?? categoria non trovata"))</f>
      </c>
      <c r="I368"/>
    </row>
    <row r="369" spans="2:9" x14ac:dyDescent="0.3">
      <c r="B369" s="57"/>
      <c r="C369" s="5"/>
      <c r="D369" s="5"/>
      <c r="E369" s="6"/>
      <c r="F369" s="7">
        <f t="shared" si="10"/>
      </c>
      <c r="G369" s="7">
        <f t="shared" si="11"/>
      </c>
      <c r="H369" s="7">
        <f>IF($C369="","",IFERROR(INDEX(Impostazioni!$C$9:$C$38,MATCH($C369,Impostazioni!$B$9:$B$38,0)),"?? categoria non trovata"))</f>
      </c>
      <c r="I369"/>
    </row>
    <row r="370" spans="2:9" x14ac:dyDescent="0.3">
      <c r="B370" s="57"/>
      <c r="C370" s="5"/>
      <c r="D370" s="5"/>
      <c r="E370" s="6"/>
      <c r="F370" s="7">
        <f t="shared" si="10"/>
      </c>
      <c r="G370" s="7">
        <f t="shared" si="11"/>
      </c>
      <c r="H370" s="7">
        <f>IF($C370="","",IFERROR(INDEX(Impostazioni!$C$9:$C$38,MATCH($C370,Impostazioni!$B$9:$B$38,0)),"?? categoria non trovata"))</f>
      </c>
      <c r="I370"/>
    </row>
    <row r="371" spans="2:9" x14ac:dyDescent="0.3">
      <c r="B371" s="57"/>
      <c r="C371" s="5"/>
      <c r="D371" s="5"/>
      <c r="E371" s="6"/>
      <c r="F371" s="7">
        <f t="shared" si="10"/>
      </c>
      <c r="G371" s="7">
        <f t="shared" si="11"/>
      </c>
      <c r="H371" s="7">
        <f>IF($C371="","",IFERROR(INDEX(Impostazioni!$C$9:$C$38,MATCH($C371,Impostazioni!$B$9:$B$38,0)),"?? categoria non trovata"))</f>
      </c>
      <c r="I371"/>
    </row>
    <row r="372" spans="2:9" x14ac:dyDescent="0.3">
      <c r="B372" s="57"/>
      <c r="C372" s="5"/>
      <c r="D372" s="5"/>
      <c r="E372" s="6"/>
      <c r="F372" s="7">
        <f t="shared" si="10"/>
      </c>
      <c r="G372" s="7">
        <f t="shared" si="11"/>
      </c>
      <c r="H372" s="7">
        <f>IF($C372="","",IFERROR(INDEX(Impostazioni!$C$9:$C$38,MATCH($C372,Impostazioni!$B$9:$B$38,0)),"?? categoria non trovata"))</f>
      </c>
      <c r="I372"/>
    </row>
    <row r="373" spans="2:9" x14ac:dyDescent="0.3">
      <c r="B373" s="57"/>
      <c r="C373" s="5"/>
      <c r="D373" s="5"/>
      <c r="E373" s="6"/>
      <c r="F373" s="7">
        <f t="shared" si="10"/>
      </c>
      <c r="G373" s="7">
        <f t="shared" si="11"/>
      </c>
      <c r="H373" s="7">
        <f>IF($C373="","",IFERROR(INDEX(Impostazioni!$C$9:$C$38,MATCH($C373,Impostazioni!$B$9:$B$38,0)),"?? categoria non trovata"))</f>
      </c>
      <c r="I373"/>
    </row>
    <row r="374" spans="2:9" x14ac:dyDescent="0.3">
      <c r="B374" s="57"/>
      <c r="C374" s="5"/>
      <c r="D374" s="5"/>
      <c r="E374" s="6"/>
      <c r="F374" s="7">
        <f t="shared" si="10"/>
      </c>
      <c r="G374" s="7">
        <f t="shared" si="11"/>
      </c>
      <c r="H374" s="7">
        <f>IF($C374="","",IFERROR(INDEX(Impostazioni!$C$9:$C$38,MATCH($C374,Impostazioni!$B$9:$B$38,0)),"?? categoria non trovata"))</f>
      </c>
      <c r="I374"/>
    </row>
    <row r="375" spans="2:9" x14ac:dyDescent="0.3">
      <c r="B375" s="57"/>
      <c r="C375" s="5"/>
      <c r="D375" s="5"/>
      <c r="E375" s="6"/>
      <c r="F375" s="7">
        <f t="shared" si="10"/>
      </c>
      <c r="G375" s="7">
        <f t="shared" si="11"/>
      </c>
      <c r="H375" s="7">
        <f>IF($C375="","",IFERROR(INDEX(Impostazioni!$C$9:$C$38,MATCH($C375,Impostazioni!$B$9:$B$38,0)),"?? categoria non trovata"))</f>
      </c>
      <c r="I375"/>
    </row>
    <row r="376" spans="2:9" x14ac:dyDescent="0.3">
      <c r="B376" s="57"/>
      <c r="C376" s="5"/>
      <c r="D376" s="5"/>
      <c r="E376" s="6"/>
      <c r="F376" s="7">
        <f t="shared" si="10"/>
      </c>
      <c r="G376" s="7">
        <f t="shared" si="11"/>
      </c>
      <c r="H376" s="7">
        <f>IF($C376="","",IFERROR(INDEX(Impostazioni!$C$9:$C$38,MATCH($C376,Impostazioni!$B$9:$B$38,0)),"?? categoria non trovata"))</f>
      </c>
      <c r="I376"/>
    </row>
    <row r="377" spans="2:9" x14ac:dyDescent="0.3">
      <c r="B377" s="57"/>
      <c r="C377" s="5"/>
      <c r="D377" s="5"/>
      <c r="E377" s="6"/>
      <c r="F377" s="7">
        <f t="shared" si="10"/>
      </c>
      <c r="G377" s="7">
        <f t="shared" si="11"/>
      </c>
      <c r="H377" s="7">
        <f>IF($C377="","",IFERROR(INDEX(Impostazioni!$C$9:$C$38,MATCH($C377,Impostazioni!$B$9:$B$38,0)),"?? categoria non trovata"))</f>
      </c>
      <c r="I377"/>
    </row>
    <row r="378" spans="2:9" x14ac:dyDescent="0.3">
      <c r="B378" s="57"/>
      <c r="C378" s="5"/>
      <c r="D378" s="5"/>
      <c r="E378" s="6"/>
      <c r="F378" s="7">
        <f t="shared" si="10"/>
      </c>
      <c r="G378" s="7">
        <f t="shared" si="11"/>
      </c>
      <c r="H378" s="7">
        <f>IF($C378="","",IFERROR(INDEX(Impostazioni!$C$9:$C$38,MATCH($C378,Impostazioni!$B$9:$B$38,0)),"?? categoria non trovata"))</f>
      </c>
      <c r="I378"/>
    </row>
    <row r="379" spans="2:9" x14ac:dyDescent="0.3">
      <c r="B379" s="57"/>
      <c r="C379" s="5"/>
      <c r="D379" s="5"/>
      <c r="E379" s="6"/>
      <c r="F379" s="7">
        <f t="shared" si="10"/>
      </c>
      <c r="G379" s="7">
        <f t="shared" si="11"/>
      </c>
      <c r="H379" s="7">
        <f>IF($C379="","",IFERROR(INDEX(Impostazioni!$C$9:$C$38,MATCH($C379,Impostazioni!$B$9:$B$38,0)),"?? categoria non trovata"))</f>
      </c>
      <c r="I379"/>
    </row>
    <row r="380" spans="2:9" x14ac:dyDescent="0.3">
      <c r="B380" s="57"/>
      <c r="C380" s="5"/>
      <c r="D380" s="5"/>
      <c r="E380" s="6"/>
      <c r="F380" s="7">
        <f t="shared" si="10"/>
      </c>
      <c r="G380" s="7">
        <f t="shared" si="11"/>
      </c>
      <c r="H380" s="7">
        <f>IF($C380="","",IFERROR(INDEX(Impostazioni!$C$9:$C$38,MATCH($C380,Impostazioni!$B$9:$B$38,0)),"?? categoria non trovata"))</f>
      </c>
      <c r="I380"/>
    </row>
    <row r="381" spans="2:9" x14ac:dyDescent="0.3">
      <c r="B381" s="57"/>
      <c r="C381" s="5"/>
      <c r="D381" s="5"/>
      <c r="E381" s="6"/>
      <c r="F381" s="7">
        <f t="shared" si="10"/>
      </c>
      <c r="G381" s="7">
        <f t="shared" si="11"/>
      </c>
      <c r="H381" s="7">
        <f>IF($C381="","",IFERROR(INDEX(Impostazioni!$C$9:$C$38,MATCH($C381,Impostazioni!$B$9:$B$38,0)),"?? categoria non trovata"))</f>
      </c>
      <c r="I381"/>
    </row>
    <row r="382" spans="2:9" x14ac:dyDescent="0.3">
      <c r="B382" s="57"/>
      <c r="C382" s="5"/>
      <c r="D382" s="5"/>
      <c r="E382" s="6"/>
      <c r="F382" s="7">
        <f t="shared" si="10"/>
      </c>
      <c r="G382" s="7">
        <f t="shared" si="11"/>
      </c>
      <c r="H382" s="7">
        <f>IF($C382="","",IFERROR(INDEX(Impostazioni!$C$9:$C$38,MATCH($C382,Impostazioni!$B$9:$B$38,0)),"?? categoria non trovata"))</f>
      </c>
      <c r="I382"/>
    </row>
    <row r="383" spans="2:9" x14ac:dyDescent="0.3">
      <c r="B383" s="57"/>
      <c r="C383" s="5"/>
      <c r="D383" s="5"/>
      <c r="E383" s="6"/>
      <c r="F383" s="7">
        <f t="shared" si="10"/>
      </c>
      <c r="G383" s="7">
        <f t="shared" si="11"/>
      </c>
      <c r="H383" s="7">
        <f>IF($C383="","",IFERROR(INDEX(Impostazioni!$C$9:$C$38,MATCH($C383,Impostazioni!$B$9:$B$38,0)),"?? categoria non trovata"))</f>
      </c>
      <c r="I383"/>
    </row>
    <row r="384" spans="2:9" x14ac:dyDescent="0.3">
      <c r="B384" s="57"/>
      <c r="C384" s="5"/>
      <c r="D384" s="5"/>
      <c r="E384" s="6"/>
      <c r="F384" s="7">
        <f t="shared" si="10"/>
      </c>
      <c r="G384" s="7">
        <f t="shared" si="11"/>
      </c>
      <c r="H384" s="7">
        <f>IF($C384="","",IFERROR(INDEX(Impostazioni!$C$9:$C$38,MATCH($C384,Impostazioni!$B$9:$B$38,0)),"?? categoria non trovata"))</f>
      </c>
      <c r="I384"/>
    </row>
    <row r="385" spans="2:9" x14ac:dyDescent="0.3">
      <c r="B385" s="57"/>
      <c r="C385" s="5"/>
      <c r="D385" s="5"/>
      <c r="E385" s="6"/>
      <c r="F385" s="7">
        <f t="shared" si="10"/>
      </c>
      <c r="G385" s="7">
        <f t="shared" si="11"/>
      </c>
      <c r="H385" s="7">
        <f>IF($C385="","",IFERROR(INDEX(Impostazioni!$C$9:$C$38,MATCH($C385,Impostazioni!$B$9:$B$38,0)),"?? categoria non trovata"))</f>
      </c>
      <c r="I385"/>
    </row>
    <row r="386" spans="2:9" x14ac:dyDescent="0.3">
      <c r="B386" s="57"/>
      <c r="C386" s="5"/>
      <c r="D386" s="5"/>
      <c r="E386" s="6"/>
      <c r="F386" s="7">
        <f t="shared" si="10"/>
      </c>
      <c r="G386" s="7">
        <f t="shared" si="11"/>
      </c>
      <c r="H386" s="7">
        <f>IF($C386="","",IFERROR(INDEX(Impostazioni!$C$9:$C$38,MATCH($C386,Impostazioni!$B$9:$B$38,0)),"?? categoria non trovata"))</f>
      </c>
      <c r="I386"/>
    </row>
    <row r="387" spans="2:9" x14ac:dyDescent="0.3">
      <c r="B387" s="57"/>
      <c r="C387" s="5"/>
      <c r="D387" s="5"/>
      <c r="E387" s="6"/>
      <c r="F387" s="7">
        <f t="shared" si="10"/>
      </c>
      <c r="G387" s="7">
        <f t="shared" si="11"/>
      </c>
      <c r="H387" s="7">
        <f>IF($C387="","",IFERROR(INDEX(Impostazioni!$C$9:$C$38,MATCH($C387,Impostazioni!$B$9:$B$38,0)),"?? categoria non trovata"))</f>
      </c>
      <c r="I387"/>
    </row>
    <row r="388" spans="2:9" x14ac:dyDescent="0.3">
      <c r="B388" s="57"/>
      <c r="C388" s="5"/>
      <c r="D388" s="5"/>
      <c r="E388" s="6"/>
      <c r="F388" s="7">
        <f t="shared" si="10"/>
      </c>
      <c r="G388" s="7">
        <f t="shared" si="11"/>
      </c>
      <c r="H388" s="7">
        <f>IF($C388="","",IFERROR(INDEX(Impostazioni!$C$9:$C$38,MATCH($C388,Impostazioni!$B$9:$B$38,0)),"?? categoria non trovata"))</f>
      </c>
      <c r="I388"/>
    </row>
    <row r="389" spans="2:9" x14ac:dyDescent="0.3">
      <c r="B389" s="57"/>
      <c r="C389" s="5"/>
      <c r="D389" s="5"/>
      <c r="E389" s="6"/>
      <c r="F389" s="7">
        <f t="shared" ref="F389:F452" si="12">IF($B389="","",MONTH($B389))</f>
      </c>
      <c r="G389" s="7">
        <f t="shared" ref="G389:G452" si="13">IF($B389="","",YEAR($B389))</f>
      </c>
      <c r="H389" s="7">
        <f>IF($C389="","",IFERROR(INDEX(Impostazioni!$C$9:$C$38,MATCH($C389,Impostazioni!$B$9:$B$38,0)),"?? categoria non trovata"))</f>
      </c>
      <c r="I389"/>
    </row>
    <row r="390" spans="2:9" x14ac:dyDescent="0.3">
      <c r="B390" s="57"/>
      <c r="C390" s="5"/>
      <c r="D390" s="5"/>
      <c r="E390" s="6"/>
      <c r="F390" s="7">
        <f t="shared" si="12"/>
      </c>
      <c r="G390" s="7">
        <f t="shared" si="13"/>
      </c>
      <c r="H390" s="7">
        <f>IF($C390="","",IFERROR(INDEX(Impostazioni!$C$9:$C$38,MATCH($C390,Impostazioni!$B$9:$B$38,0)),"?? categoria non trovata"))</f>
      </c>
      <c r="I390"/>
    </row>
    <row r="391" spans="2:9" x14ac:dyDescent="0.3">
      <c r="B391" s="57"/>
      <c r="C391" s="5"/>
      <c r="D391" s="5"/>
      <c r="E391" s="6"/>
      <c r="F391" s="7">
        <f t="shared" si="12"/>
      </c>
      <c r="G391" s="7">
        <f t="shared" si="13"/>
      </c>
      <c r="H391" s="7">
        <f>IF($C391="","",IFERROR(INDEX(Impostazioni!$C$9:$C$38,MATCH($C391,Impostazioni!$B$9:$B$38,0)),"?? categoria non trovata"))</f>
      </c>
      <c r="I391"/>
    </row>
    <row r="392" spans="2:9" x14ac:dyDescent="0.3">
      <c r="B392" s="57"/>
      <c r="C392" s="5"/>
      <c r="D392" s="5"/>
      <c r="E392" s="6"/>
      <c r="F392" s="7">
        <f t="shared" si="12"/>
      </c>
      <c r="G392" s="7">
        <f t="shared" si="13"/>
      </c>
      <c r="H392" s="7">
        <f>IF($C392="","",IFERROR(INDEX(Impostazioni!$C$9:$C$38,MATCH($C392,Impostazioni!$B$9:$B$38,0)),"?? categoria non trovata"))</f>
      </c>
      <c r="I392"/>
    </row>
    <row r="393" spans="2:9" x14ac:dyDescent="0.3">
      <c r="B393" s="57"/>
      <c r="C393" s="5"/>
      <c r="D393" s="5"/>
      <c r="E393" s="6"/>
      <c r="F393" s="7">
        <f t="shared" si="12"/>
      </c>
      <c r="G393" s="7">
        <f t="shared" si="13"/>
      </c>
      <c r="H393" s="7">
        <f>IF($C393="","",IFERROR(INDEX(Impostazioni!$C$9:$C$38,MATCH($C393,Impostazioni!$B$9:$B$38,0)),"?? categoria non trovata"))</f>
      </c>
      <c r="I393"/>
    </row>
    <row r="394" spans="2:9" x14ac:dyDescent="0.3">
      <c r="B394" s="57"/>
      <c r="C394" s="5"/>
      <c r="D394" s="5"/>
      <c r="E394" s="6"/>
      <c r="F394" s="7">
        <f t="shared" si="12"/>
      </c>
      <c r="G394" s="7">
        <f t="shared" si="13"/>
      </c>
      <c r="H394" s="7">
        <f>IF($C394="","",IFERROR(INDEX(Impostazioni!$C$9:$C$38,MATCH($C394,Impostazioni!$B$9:$B$38,0)),"?? categoria non trovata"))</f>
      </c>
      <c r="I394"/>
    </row>
    <row r="395" spans="2:9" x14ac:dyDescent="0.3">
      <c r="B395" s="57"/>
      <c r="C395" s="5"/>
      <c r="D395" s="5"/>
      <c r="E395" s="6"/>
      <c r="F395" s="7">
        <f t="shared" si="12"/>
      </c>
      <c r="G395" s="7">
        <f t="shared" si="13"/>
      </c>
      <c r="H395" s="7">
        <f>IF($C395="","",IFERROR(INDEX(Impostazioni!$C$9:$C$38,MATCH($C395,Impostazioni!$B$9:$B$38,0)),"?? categoria non trovata"))</f>
      </c>
      <c r="I395"/>
    </row>
    <row r="396" spans="2:9" x14ac:dyDescent="0.3">
      <c r="B396" s="57"/>
      <c r="C396" s="5"/>
      <c r="D396" s="5"/>
      <c r="E396" s="6"/>
      <c r="F396" s="7">
        <f t="shared" si="12"/>
      </c>
      <c r="G396" s="7">
        <f t="shared" si="13"/>
      </c>
      <c r="H396" s="7">
        <f>IF($C396="","",IFERROR(INDEX(Impostazioni!$C$9:$C$38,MATCH($C396,Impostazioni!$B$9:$B$38,0)),"?? categoria non trovata"))</f>
      </c>
      <c r="I396"/>
    </row>
    <row r="397" spans="2:9" x14ac:dyDescent="0.3">
      <c r="B397" s="57"/>
      <c r="C397" s="5"/>
      <c r="D397" s="5"/>
      <c r="E397" s="6"/>
      <c r="F397" s="7">
        <f t="shared" si="12"/>
      </c>
      <c r="G397" s="7">
        <f t="shared" si="13"/>
      </c>
      <c r="H397" s="7">
        <f>IF($C397="","",IFERROR(INDEX(Impostazioni!$C$9:$C$38,MATCH($C397,Impostazioni!$B$9:$B$38,0)),"?? categoria non trovata"))</f>
      </c>
      <c r="I397"/>
    </row>
    <row r="398" spans="2:9" x14ac:dyDescent="0.3">
      <c r="B398" s="57"/>
      <c r="C398" s="5"/>
      <c r="D398" s="5"/>
      <c r="E398" s="6"/>
      <c r="F398" s="7">
        <f t="shared" si="12"/>
      </c>
      <c r="G398" s="7">
        <f t="shared" si="13"/>
      </c>
      <c r="H398" s="7">
        <f>IF($C398="","",IFERROR(INDEX(Impostazioni!$C$9:$C$38,MATCH($C398,Impostazioni!$B$9:$B$38,0)),"?? categoria non trovata"))</f>
      </c>
      <c r="I398"/>
    </row>
    <row r="399" spans="2:9" x14ac:dyDescent="0.3">
      <c r="B399" s="57"/>
      <c r="C399" s="5"/>
      <c r="D399" s="5"/>
      <c r="E399" s="6"/>
      <c r="F399" s="7">
        <f t="shared" si="12"/>
      </c>
      <c r="G399" s="7">
        <f t="shared" si="13"/>
      </c>
      <c r="H399" s="7">
        <f>IF($C399="","",IFERROR(INDEX(Impostazioni!$C$9:$C$38,MATCH($C399,Impostazioni!$B$9:$B$38,0)),"?? categoria non trovata"))</f>
      </c>
      <c r="I399"/>
    </row>
    <row r="400" spans="2:9" x14ac:dyDescent="0.3">
      <c r="B400" s="57"/>
      <c r="C400" s="5"/>
      <c r="D400" s="5"/>
      <c r="E400" s="6"/>
      <c r="F400" s="7">
        <f t="shared" si="12"/>
      </c>
      <c r="G400" s="7">
        <f t="shared" si="13"/>
      </c>
      <c r="H400" s="7">
        <f>IF($C400="","",IFERROR(INDEX(Impostazioni!$C$9:$C$38,MATCH($C400,Impostazioni!$B$9:$B$38,0)),"?? categoria non trovata"))</f>
      </c>
      <c r="I400"/>
    </row>
    <row r="401" spans="2:9" x14ac:dyDescent="0.3">
      <c r="B401" s="57"/>
      <c r="C401" s="5"/>
      <c r="D401" s="5"/>
      <c r="E401" s="6"/>
      <c r="F401" s="7">
        <f t="shared" si="12"/>
      </c>
      <c r="G401" s="7">
        <f t="shared" si="13"/>
      </c>
      <c r="H401" s="7">
        <f>IF($C401="","",IFERROR(INDEX(Impostazioni!$C$9:$C$38,MATCH($C401,Impostazioni!$B$9:$B$38,0)),"?? categoria non trovata"))</f>
      </c>
      <c r="I401"/>
    </row>
    <row r="402" spans="2:9" x14ac:dyDescent="0.3">
      <c r="B402" s="57"/>
      <c r="C402" s="5"/>
      <c r="D402" s="5"/>
      <c r="E402" s="6"/>
      <c r="F402" s="7">
        <f t="shared" si="12"/>
      </c>
      <c r="G402" s="7">
        <f t="shared" si="13"/>
      </c>
      <c r="H402" s="7">
        <f>IF($C402="","",IFERROR(INDEX(Impostazioni!$C$9:$C$38,MATCH($C402,Impostazioni!$B$9:$B$38,0)),"?? categoria non trovata"))</f>
      </c>
      <c r="I402"/>
    </row>
    <row r="403" spans="2:9" x14ac:dyDescent="0.3">
      <c r="B403" s="57"/>
      <c r="C403" s="5"/>
      <c r="D403" s="5"/>
      <c r="E403" s="6"/>
      <c r="F403" s="7">
        <f t="shared" si="12"/>
      </c>
      <c r="G403" s="7">
        <f t="shared" si="13"/>
      </c>
      <c r="H403" s="7">
        <f>IF($C403="","",IFERROR(INDEX(Impostazioni!$C$9:$C$38,MATCH($C403,Impostazioni!$B$9:$B$38,0)),"?? categoria non trovata"))</f>
      </c>
      <c r="I403"/>
    </row>
    <row r="404" spans="2:9" x14ac:dyDescent="0.3">
      <c r="B404" s="57"/>
      <c r="C404" s="5"/>
      <c r="D404" s="5"/>
      <c r="E404" s="6"/>
      <c r="F404" s="7">
        <f t="shared" si="12"/>
      </c>
      <c r="G404" s="7">
        <f t="shared" si="13"/>
      </c>
      <c r="H404" s="7">
        <f>IF($C404="","",IFERROR(INDEX(Impostazioni!$C$9:$C$38,MATCH($C404,Impostazioni!$B$9:$B$38,0)),"?? categoria non trovata"))</f>
      </c>
      <c r="I404"/>
    </row>
    <row r="405" spans="2:9" x14ac:dyDescent="0.3">
      <c r="B405" s="57"/>
      <c r="C405" s="5"/>
      <c r="D405" s="5"/>
      <c r="E405" s="6"/>
      <c r="F405" s="7">
        <f t="shared" si="12"/>
      </c>
      <c r="G405" s="7">
        <f t="shared" si="13"/>
      </c>
      <c r="H405" s="7">
        <f>IF($C405="","",IFERROR(INDEX(Impostazioni!$C$9:$C$38,MATCH($C405,Impostazioni!$B$9:$B$38,0)),"?? categoria non trovata"))</f>
      </c>
      <c r="I405"/>
    </row>
    <row r="406" spans="2:9" x14ac:dyDescent="0.3">
      <c r="B406" s="57"/>
      <c r="C406" s="5"/>
      <c r="D406" s="5"/>
      <c r="E406" s="6"/>
      <c r="F406" s="7">
        <f t="shared" si="12"/>
      </c>
      <c r="G406" s="7">
        <f t="shared" si="13"/>
      </c>
      <c r="H406" s="7">
        <f>IF($C406="","",IFERROR(INDEX(Impostazioni!$C$9:$C$38,MATCH($C406,Impostazioni!$B$9:$B$38,0)),"?? categoria non trovata"))</f>
      </c>
      <c r="I406"/>
    </row>
    <row r="407" spans="2:9" x14ac:dyDescent="0.3">
      <c r="B407" s="57"/>
      <c r="C407" s="5"/>
      <c r="D407" s="5"/>
      <c r="E407" s="6"/>
      <c r="F407" s="7">
        <f t="shared" si="12"/>
      </c>
      <c r="G407" s="7">
        <f t="shared" si="13"/>
      </c>
      <c r="H407" s="7">
        <f>IF($C407="","",IFERROR(INDEX(Impostazioni!$C$9:$C$38,MATCH($C407,Impostazioni!$B$9:$B$38,0)),"?? categoria non trovata"))</f>
      </c>
      <c r="I407"/>
    </row>
    <row r="408" spans="2:9" x14ac:dyDescent="0.3">
      <c r="B408" s="57"/>
      <c r="C408" s="5"/>
      <c r="D408" s="5"/>
      <c r="E408" s="6"/>
      <c r="F408" s="7">
        <f t="shared" si="12"/>
      </c>
      <c r="G408" s="7">
        <f t="shared" si="13"/>
      </c>
      <c r="H408" s="7">
        <f>IF($C408="","",IFERROR(INDEX(Impostazioni!$C$9:$C$38,MATCH($C408,Impostazioni!$B$9:$B$38,0)),"?? categoria non trovata"))</f>
      </c>
      <c r="I408"/>
    </row>
    <row r="409" spans="2:9" x14ac:dyDescent="0.3">
      <c r="B409" s="57"/>
      <c r="C409" s="5"/>
      <c r="D409" s="5"/>
      <c r="E409" s="6"/>
      <c r="F409" s="7">
        <f t="shared" si="12"/>
      </c>
      <c r="G409" s="7">
        <f t="shared" si="13"/>
      </c>
      <c r="H409" s="7">
        <f>IF($C409="","",IFERROR(INDEX(Impostazioni!$C$9:$C$38,MATCH($C409,Impostazioni!$B$9:$B$38,0)),"?? categoria non trovata"))</f>
      </c>
      <c r="I409"/>
    </row>
    <row r="410" spans="2:9" x14ac:dyDescent="0.3">
      <c r="B410" s="57"/>
      <c r="C410" s="5"/>
      <c r="D410" s="5"/>
      <c r="E410" s="6"/>
      <c r="F410" s="7">
        <f t="shared" si="12"/>
      </c>
      <c r="G410" s="7">
        <f t="shared" si="13"/>
      </c>
      <c r="H410" s="7">
        <f>IF($C410="","",IFERROR(INDEX(Impostazioni!$C$9:$C$38,MATCH($C410,Impostazioni!$B$9:$B$38,0)),"?? categoria non trovata"))</f>
      </c>
      <c r="I410"/>
    </row>
    <row r="411" spans="2:9" x14ac:dyDescent="0.3">
      <c r="B411" s="57"/>
      <c r="C411" s="5"/>
      <c r="D411" s="5"/>
      <c r="E411" s="6"/>
      <c r="F411" s="7">
        <f t="shared" si="12"/>
      </c>
      <c r="G411" s="7">
        <f t="shared" si="13"/>
      </c>
      <c r="H411" s="7">
        <f>IF($C411="","",IFERROR(INDEX(Impostazioni!$C$9:$C$38,MATCH($C411,Impostazioni!$B$9:$B$38,0)),"?? categoria non trovata"))</f>
      </c>
      <c r="I411"/>
    </row>
    <row r="412" spans="2:9" x14ac:dyDescent="0.3">
      <c r="B412" s="57"/>
      <c r="C412" s="5"/>
      <c r="D412" s="5"/>
      <c r="E412" s="6"/>
      <c r="F412" s="7">
        <f t="shared" si="12"/>
      </c>
      <c r="G412" s="7">
        <f t="shared" si="13"/>
      </c>
      <c r="H412" s="7">
        <f>IF($C412="","",IFERROR(INDEX(Impostazioni!$C$9:$C$38,MATCH($C412,Impostazioni!$B$9:$B$38,0)),"?? categoria non trovata"))</f>
      </c>
      <c r="I412"/>
    </row>
    <row r="413" spans="2:9" x14ac:dyDescent="0.3">
      <c r="B413" s="57"/>
      <c r="C413" s="5"/>
      <c r="D413" s="5"/>
      <c r="E413" s="6"/>
      <c r="F413" s="7">
        <f t="shared" si="12"/>
      </c>
      <c r="G413" s="7">
        <f t="shared" si="13"/>
      </c>
      <c r="H413" s="7">
        <f>IF($C413="","",IFERROR(INDEX(Impostazioni!$C$9:$C$38,MATCH($C413,Impostazioni!$B$9:$B$38,0)),"?? categoria non trovata"))</f>
      </c>
      <c r="I413"/>
    </row>
    <row r="414" spans="2:9" x14ac:dyDescent="0.3">
      <c r="B414" s="57"/>
      <c r="C414" s="5"/>
      <c r="D414" s="5"/>
      <c r="E414" s="6"/>
      <c r="F414" s="7">
        <f t="shared" si="12"/>
      </c>
      <c r="G414" s="7">
        <f t="shared" si="13"/>
      </c>
      <c r="H414" s="7">
        <f>IF($C414="","",IFERROR(INDEX(Impostazioni!$C$9:$C$38,MATCH($C414,Impostazioni!$B$9:$B$38,0)),"?? categoria non trovata"))</f>
      </c>
      <c r="I414"/>
    </row>
    <row r="415" spans="2:9" x14ac:dyDescent="0.3">
      <c r="B415" s="57"/>
      <c r="C415" s="5"/>
      <c r="D415" s="5"/>
      <c r="E415" s="6"/>
      <c r="F415" s="7">
        <f t="shared" si="12"/>
      </c>
      <c r="G415" s="7">
        <f t="shared" si="13"/>
      </c>
      <c r="H415" s="7">
        <f>IF($C415="","",IFERROR(INDEX(Impostazioni!$C$9:$C$38,MATCH($C415,Impostazioni!$B$9:$B$38,0)),"?? categoria non trovata"))</f>
      </c>
      <c r="I415"/>
    </row>
    <row r="416" spans="2:9" x14ac:dyDescent="0.3">
      <c r="B416" s="57"/>
      <c r="C416" s="5"/>
      <c r="D416" s="5"/>
      <c r="E416" s="6"/>
      <c r="F416" s="7">
        <f t="shared" si="12"/>
      </c>
      <c r="G416" s="7">
        <f t="shared" si="13"/>
      </c>
      <c r="H416" s="7">
        <f>IF($C416="","",IFERROR(INDEX(Impostazioni!$C$9:$C$38,MATCH($C416,Impostazioni!$B$9:$B$38,0)),"?? categoria non trovata"))</f>
      </c>
      <c r="I416"/>
    </row>
    <row r="417" spans="2:9" x14ac:dyDescent="0.3">
      <c r="B417" s="57"/>
      <c r="C417" s="5"/>
      <c r="D417" s="5"/>
      <c r="E417" s="6"/>
      <c r="F417" s="7">
        <f t="shared" si="12"/>
      </c>
      <c r="G417" s="7">
        <f t="shared" si="13"/>
      </c>
      <c r="H417" s="7">
        <f>IF($C417="","",IFERROR(INDEX(Impostazioni!$C$9:$C$38,MATCH($C417,Impostazioni!$B$9:$B$38,0)),"?? categoria non trovata"))</f>
      </c>
      <c r="I417"/>
    </row>
    <row r="418" spans="2:9" x14ac:dyDescent="0.3">
      <c r="B418" s="57"/>
      <c r="C418" s="5"/>
      <c r="D418" s="5"/>
      <c r="E418" s="6"/>
      <c r="F418" s="7">
        <f t="shared" si="12"/>
      </c>
      <c r="G418" s="7">
        <f t="shared" si="13"/>
      </c>
      <c r="H418" s="7">
        <f>IF($C418="","",IFERROR(INDEX(Impostazioni!$C$9:$C$38,MATCH($C418,Impostazioni!$B$9:$B$38,0)),"?? categoria non trovata"))</f>
      </c>
      <c r="I418"/>
    </row>
    <row r="419" spans="2:9" x14ac:dyDescent="0.3">
      <c r="B419" s="57"/>
      <c r="C419" s="5"/>
      <c r="D419" s="5"/>
      <c r="E419" s="6"/>
      <c r="F419" s="7">
        <f t="shared" si="12"/>
      </c>
      <c r="G419" s="7">
        <f t="shared" si="13"/>
      </c>
      <c r="H419" s="7">
        <f>IF($C419="","",IFERROR(INDEX(Impostazioni!$C$9:$C$38,MATCH($C419,Impostazioni!$B$9:$B$38,0)),"?? categoria non trovata"))</f>
      </c>
      <c r="I419"/>
    </row>
    <row r="420" spans="2:9" x14ac:dyDescent="0.3">
      <c r="B420" s="57"/>
      <c r="C420" s="5"/>
      <c r="D420" s="5"/>
      <c r="E420" s="6"/>
      <c r="F420" s="7">
        <f t="shared" si="12"/>
      </c>
      <c r="G420" s="7">
        <f t="shared" si="13"/>
      </c>
      <c r="H420" s="7">
        <f>IF($C420="","",IFERROR(INDEX(Impostazioni!$C$9:$C$38,MATCH($C420,Impostazioni!$B$9:$B$38,0)),"?? categoria non trovata"))</f>
      </c>
      <c r="I420"/>
    </row>
    <row r="421" spans="2:9" x14ac:dyDescent="0.3">
      <c r="B421" s="57"/>
      <c r="C421" s="5"/>
      <c r="D421" s="5"/>
      <c r="E421" s="6"/>
      <c r="F421" s="7">
        <f t="shared" si="12"/>
      </c>
      <c r="G421" s="7">
        <f t="shared" si="13"/>
      </c>
      <c r="H421" s="7">
        <f>IF($C421="","",IFERROR(INDEX(Impostazioni!$C$9:$C$38,MATCH($C421,Impostazioni!$B$9:$B$38,0)),"?? categoria non trovata"))</f>
      </c>
      <c r="I421"/>
    </row>
    <row r="422" spans="2:9" x14ac:dyDescent="0.3">
      <c r="B422" s="57"/>
      <c r="C422" s="5"/>
      <c r="D422" s="5"/>
      <c r="E422" s="6"/>
      <c r="F422" s="7">
        <f t="shared" si="12"/>
      </c>
      <c r="G422" s="7">
        <f t="shared" si="13"/>
      </c>
      <c r="H422" s="7">
        <f>IF($C422="","",IFERROR(INDEX(Impostazioni!$C$9:$C$38,MATCH($C422,Impostazioni!$B$9:$B$38,0)),"?? categoria non trovata"))</f>
      </c>
      <c r="I422"/>
    </row>
    <row r="423" spans="2:9" x14ac:dyDescent="0.3">
      <c r="B423" s="57"/>
      <c r="C423" s="5"/>
      <c r="D423" s="5"/>
      <c r="E423" s="6"/>
      <c r="F423" s="7">
        <f t="shared" si="12"/>
      </c>
      <c r="G423" s="7">
        <f t="shared" si="13"/>
      </c>
      <c r="H423" s="7">
        <f>IF($C423="","",IFERROR(INDEX(Impostazioni!$C$9:$C$38,MATCH($C423,Impostazioni!$B$9:$B$38,0)),"?? categoria non trovata"))</f>
      </c>
      <c r="I423"/>
    </row>
    <row r="424" spans="2:9" x14ac:dyDescent="0.3">
      <c r="B424" s="57"/>
      <c r="C424" s="5"/>
      <c r="D424" s="5"/>
      <c r="E424" s="6"/>
      <c r="F424" s="7">
        <f t="shared" si="12"/>
      </c>
      <c r="G424" s="7">
        <f t="shared" si="13"/>
      </c>
      <c r="H424" s="7">
        <f>IF($C424="","",IFERROR(INDEX(Impostazioni!$C$9:$C$38,MATCH($C424,Impostazioni!$B$9:$B$38,0)),"?? categoria non trovata"))</f>
      </c>
      <c r="I424"/>
    </row>
    <row r="425" spans="2:9" x14ac:dyDescent="0.3">
      <c r="B425" s="57"/>
      <c r="C425" s="5"/>
      <c r="D425" s="5"/>
      <c r="E425" s="6"/>
      <c r="F425" s="7">
        <f t="shared" si="12"/>
      </c>
      <c r="G425" s="7">
        <f t="shared" si="13"/>
      </c>
      <c r="H425" s="7">
        <f>IF($C425="","",IFERROR(INDEX(Impostazioni!$C$9:$C$38,MATCH($C425,Impostazioni!$B$9:$B$38,0)),"?? categoria non trovata"))</f>
      </c>
      <c r="I425"/>
    </row>
    <row r="426" spans="2:9" x14ac:dyDescent="0.3">
      <c r="B426" s="57"/>
      <c r="C426" s="5"/>
      <c r="D426" s="5"/>
      <c r="E426" s="6"/>
      <c r="F426" s="7">
        <f t="shared" si="12"/>
      </c>
      <c r="G426" s="7">
        <f t="shared" si="13"/>
      </c>
      <c r="H426" s="7">
        <f>IF($C426="","",IFERROR(INDEX(Impostazioni!$C$9:$C$38,MATCH($C426,Impostazioni!$B$9:$B$38,0)),"?? categoria non trovata"))</f>
      </c>
      <c r="I426"/>
    </row>
    <row r="427" spans="2:9" x14ac:dyDescent="0.3">
      <c r="B427" s="57"/>
      <c r="C427" s="5"/>
      <c r="D427" s="5"/>
      <c r="E427" s="6"/>
      <c r="F427" s="7">
        <f t="shared" si="12"/>
      </c>
      <c r="G427" s="7">
        <f t="shared" si="13"/>
      </c>
      <c r="H427" s="7">
        <f>IF($C427="","",IFERROR(INDEX(Impostazioni!$C$9:$C$38,MATCH($C427,Impostazioni!$B$9:$B$38,0)),"?? categoria non trovata"))</f>
      </c>
      <c r="I427"/>
    </row>
    <row r="428" spans="2:9" x14ac:dyDescent="0.3">
      <c r="B428" s="57"/>
      <c r="C428" s="5"/>
      <c r="D428" s="5"/>
      <c r="E428" s="6"/>
      <c r="F428" s="7">
        <f t="shared" si="12"/>
      </c>
      <c r="G428" s="7">
        <f t="shared" si="13"/>
      </c>
      <c r="H428" s="7">
        <f>IF($C428="","",IFERROR(INDEX(Impostazioni!$C$9:$C$38,MATCH($C428,Impostazioni!$B$9:$B$38,0)),"?? categoria non trovata"))</f>
      </c>
      <c r="I428"/>
    </row>
    <row r="429" spans="2:9" x14ac:dyDescent="0.3">
      <c r="B429" s="57"/>
      <c r="C429" s="5"/>
      <c r="D429" s="5"/>
      <c r="E429" s="6"/>
      <c r="F429" s="7">
        <f t="shared" si="12"/>
      </c>
      <c r="G429" s="7">
        <f t="shared" si="13"/>
      </c>
      <c r="H429" s="7">
        <f>IF($C429="","",IFERROR(INDEX(Impostazioni!$C$9:$C$38,MATCH($C429,Impostazioni!$B$9:$B$38,0)),"?? categoria non trovata"))</f>
      </c>
      <c r="I429"/>
    </row>
    <row r="430" spans="2:9" x14ac:dyDescent="0.3">
      <c r="B430" s="57"/>
      <c r="C430" s="5"/>
      <c r="D430" s="5"/>
      <c r="E430" s="6"/>
      <c r="F430" s="7">
        <f t="shared" si="12"/>
      </c>
      <c r="G430" s="7">
        <f t="shared" si="13"/>
      </c>
      <c r="H430" s="7">
        <f>IF($C430="","",IFERROR(INDEX(Impostazioni!$C$9:$C$38,MATCH($C430,Impostazioni!$B$9:$B$38,0)),"?? categoria non trovata"))</f>
      </c>
      <c r="I430"/>
    </row>
    <row r="431" spans="2:9" x14ac:dyDescent="0.3">
      <c r="B431" s="57"/>
      <c r="C431" s="5"/>
      <c r="D431" s="5"/>
      <c r="E431" s="6"/>
      <c r="F431" s="7">
        <f t="shared" si="12"/>
      </c>
      <c r="G431" s="7">
        <f t="shared" si="13"/>
      </c>
      <c r="H431" s="7">
        <f>IF($C431="","",IFERROR(INDEX(Impostazioni!$C$9:$C$38,MATCH($C431,Impostazioni!$B$9:$B$38,0)),"?? categoria non trovata"))</f>
      </c>
      <c r="I431"/>
    </row>
    <row r="432" spans="2:9" x14ac:dyDescent="0.3">
      <c r="B432" s="57"/>
      <c r="C432" s="5"/>
      <c r="D432" s="5"/>
      <c r="E432" s="6"/>
      <c r="F432" s="7">
        <f t="shared" si="12"/>
      </c>
      <c r="G432" s="7">
        <f t="shared" si="13"/>
      </c>
      <c r="H432" s="7">
        <f>IF($C432="","",IFERROR(INDEX(Impostazioni!$C$9:$C$38,MATCH($C432,Impostazioni!$B$9:$B$38,0)),"?? categoria non trovata"))</f>
      </c>
      <c r="I432"/>
    </row>
    <row r="433" spans="2:9" x14ac:dyDescent="0.3">
      <c r="B433" s="57"/>
      <c r="C433" s="5"/>
      <c r="D433" s="5"/>
      <c r="E433" s="6"/>
      <c r="F433" s="7">
        <f t="shared" si="12"/>
      </c>
      <c r="G433" s="7">
        <f t="shared" si="13"/>
      </c>
      <c r="H433" s="7">
        <f>IF($C433="","",IFERROR(INDEX(Impostazioni!$C$9:$C$38,MATCH($C433,Impostazioni!$B$9:$B$38,0)),"?? categoria non trovata"))</f>
      </c>
      <c r="I433"/>
    </row>
    <row r="434" spans="2:9" x14ac:dyDescent="0.3">
      <c r="B434" s="57"/>
      <c r="C434" s="5"/>
      <c r="D434" s="5"/>
      <c r="E434" s="6"/>
      <c r="F434" s="7">
        <f t="shared" si="12"/>
      </c>
      <c r="G434" s="7">
        <f t="shared" si="13"/>
      </c>
      <c r="H434" s="7">
        <f>IF($C434="","",IFERROR(INDEX(Impostazioni!$C$9:$C$38,MATCH($C434,Impostazioni!$B$9:$B$38,0)),"?? categoria non trovata"))</f>
      </c>
      <c r="I434"/>
    </row>
    <row r="435" spans="2:9" x14ac:dyDescent="0.3">
      <c r="B435" s="57"/>
      <c r="C435" s="5"/>
      <c r="D435" s="5"/>
      <c r="E435" s="6"/>
      <c r="F435" s="7">
        <f t="shared" si="12"/>
      </c>
      <c r="G435" s="7">
        <f t="shared" si="13"/>
      </c>
      <c r="H435" s="7">
        <f>IF($C435="","",IFERROR(INDEX(Impostazioni!$C$9:$C$38,MATCH($C435,Impostazioni!$B$9:$B$38,0)),"?? categoria non trovata"))</f>
      </c>
      <c r="I435"/>
    </row>
    <row r="436" spans="2:9" x14ac:dyDescent="0.3">
      <c r="B436" s="57"/>
      <c r="C436" s="5"/>
      <c r="D436" s="5"/>
      <c r="E436" s="6"/>
      <c r="F436" s="7">
        <f t="shared" si="12"/>
      </c>
      <c r="G436" s="7">
        <f t="shared" si="13"/>
      </c>
      <c r="H436" s="7">
        <f>IF($C436="","",IFERROR(INDEX(Impostazioni!$C$9:$C$38,MATCH($C436,Impostazioni!$B$9:$B$38,0)),"?? categoria non trovata"))</f>
      </c>
      <c r="I436"/>
    </row>
    <row r="437" spans="2:9" x14ac:dyDescent="0.3">
      <c r="B437" s="57"/>
      <c r="C437" s="5"/>
      <c r="D437" s="5"/>
      <c r="E437" s="6"/>
      <c r="F437" s="7">
        <f t="shared" si="12"/>
      </c>
      <c r="G437" s="7">
        <f t="shared" si="13"/>
      </c>
      <c r="H437" s="7">
        <f>IF($C437="","",IFERROR(INDEX(Impostazioni!$C$9:$C$38,MATCH($C437,Impostazioni!$B$9:$B$38,0)),"?? categoria non trovata"))</f>
      </c>
      <c r="I437"/>
    </row>
    <row r="438" spans="2:9" x14ac:dyDescent="0.3">
      <c r="B438" s="57"/>
      <c r="C438" s="5"/>
      <c r="D438" s="5"/>
      <c r="E438" s="6"/>
      <c r="F438" s="7">
        <f t="shared" si="12"/>
      </c>
      <c r="G438" s="7">
        <f t="shared" si="13"/>
      </c>
      <c r="H438" s="7">
        <f>IF($C438="","",IFERROR(INDEX(Impostazioni!$C$9:$C$38,MATCH($C438,Impostazioni!$B$9:$B$38,0)),"?? categoria non trovata"))</f>
      </c>
      <c r="I438"/>
    </row>
    <row r="439" spans="2:9" x14ac:dyDescent="0.3">
      <c r="B439" s="57"/>
      <c r="C439" s="5"/>
      <c r="D439" s="5"/>
      <c r="E439" s="6"/>
      <c r="F439" s="7">
        <f t="shared" si="12"/>
      </c>
      <c r="G439" s="7">
        <f t="shared" si="13"/>
      </c>
      <c r="H439" s="7">
        <f>IF($C439="","",IFERROR(INDEX(Impostazioni!$C$9:$C$38,MATCH($C439,Impostazioni!$B$9:$B$38,0)),"?? categoria non trovata"))</f>
      </c>
      <c r="I439"/>
    </row>
    <row r="440" spans="2:9" x14ac:dyDescent="0.3">
      <c r="B440" s="57"/>
      <c r="C440" s="5"/>
      <c r="D440" s="5"/>
      <c r="E440" s="6"/>
      <c r="F440" s="7">
        <f t="shared" si="12"/>
      </c>
      <c r="G440" s="7">
        <f t="shared" si="13"/>
      </c>
      <c r="H440" s="7">
        <f>IF($C440="","",IFERROR(INDEX(Impostazioni!$C$9:$C$38,MATCH($C440,Impostazioni!$B$9:$B$38,0)),"?? categoria non trovata"))</f>
      </c>
      <c r="I440"/>
    </row>
    <row r="441" spans="2:9" x14ac:dyDescent="0.3">
      <c r="B441" s="57"/>
      <c r="C441" s="5"/>
      <c r="D441" s="5"/>
      <c r="E441" s="6"/>
      <c r="F441" s="7">
        <f t="shared" si="12"/>
      </c>
      <c r="G441" s="7">
        <f t="shared" si="13"/>
      </c>
      <c r="H441" s="7">
        <f>IF($C441="","",IFERROR(INDEX(Impostazioni!$C$9:$C$38,MATCH($C441,Impostazioni!$B$9:$B$38,0)),"?? categoria non trovata"))</f>
      </c>
      <c r="I441"/>
    </row>
    <row r="442" spans="2:9" x14ac:dyDescent="0.3">
      <c r="B442" s="57"/>
      <c r="C442" s="5"/>
      <c r="D442" s="5"/>
      <c r="E442" s="6"/>
      <c r="F442" s="7">
        <f t="shared" si="12"/>
      </c>
      <c r="G442" s="7">
        <f t="shared" si="13"/>
      </c>
      <c r="H442" s="7">
        <f>IF($C442="","",IFERROR(INDEX(Impostazioni!$C$9:$C$38,MATCH($C442,Impostazioni!$B$9:$B$38,0)),"?? categoria non trovata"))</f>
      </c>
      <c r="I442"/>
    </row>
    <row r="443" spans="2:9" x14ac:dyDescent="0.3">
      <c r="B443" s="57"/>
      <c r="C443" s="5"/>
      <c r="D443" s="5"/>
      <c r="E443" s="6"/>
      <c r="F443" s="7">
        <f t="shared" si="12"/>
      </c>
      <c r="G443" s="7">
        <f t="shared" si="13"/>
      </c>
      <c r="H443" s="7">
        <f>IF($C443="","",IFERROR(INDEX(Impostazioni!$C$9:$C$38,MATCH($C443,Impostazioni!$B$9:$B$38,0)),"?? categoria non trovata"))</f>
      </c>
      <c r="I443"/>
    </row>
    <row r="444" spans="2:9" x14ac:dyDescent="0.3">
      <c r="B444" s="57"/>
      <c r="C444" s="5"/>
      <c r="D444" s="5"/>
      <c r="E444" s="6"/>
      <c r="F444" s="7">
        <f t="shared" si="12"/>
      </c>
      <c r="G444" s="7">
        <f t="shared" si="13"/>
      </c>
      <c r="H444" s="7">
        <f>IF($C444="","",IFERROR(INDEX(Impostazioni!$C$9:$C$38,MATCH($C444,Impostazioni!$B$9:$B$38,0)),"?? categoria non trovata"))</f>
      </c>
      <c r="I444"/>
    </row>
    <row r="445" spans="2:9" x14ac:dyDescent="0.3">
      <c r="B445" s="57"/>
      <c r="C445" s="5"/>
      <c r="D445" s="5"/>
      <c r="E445" s="6"/>
      <c r="F445" s="7">
        <f t="shared" si="12"/>
      </c>
      <c r="G445" s="7">
        <f t="shared" si="13"/>
      </c>
      <c r="H445" s="7">
        <f>IF($C445="","",IFERROR(INDEX(Impostazioni!$C$9:$C$38,MATCH($C445,Impostazioni!$B$9:$B$38,0)),"?? categoria non trovata"))</f>
      </c>
      <c r="I445"/>
    </row>
    <row r="446" spans="2:9" x14ac:dyDescent="0.3">
      <c r="B446" s="57"/>
      <c r="C446" s="5"/>
      <c r="D446" s="5"/>
      <c r="E446" s="6"/>
      <c r="F446" s="7">
        <f t="shared" si="12"/>
      </c>
      <c r="G446" s="7">
        <f t="shared" si="13"/>
      </c>
      <c r="H446" s="7">
        <f>IF($C446="","",IFERROR(INDEX(Impostazioni!$C$9:$C$38,MATCH($C446,Impostazioni!$B$9:$B$38,0)),"?? categoria non trovata"))</f>
      </c>
      <c r="I446"/>
    </row>
    <row r="447" spans="2:9" x14ac:dyDescent="0.3">
      <c r="B447" s="57"/>
      <c r="C447" s="5"/>
      <c r="D447" s="5"/>
      <c r="E447" s="6"/>
      <c r="F447" s="7">
        <f t="shared" si="12"/>
      </c>
      <c r="G447" s="7">
        <f t="shared" si="13"/>
      </c>
      <c r="H447" s="7">
        <f>IF($C447="","",IFERROR(INDEX(Impostazioni!$C$9:$C$38,MATCH($C447,Impostazioni!$B$9:$B$38,0)),"?? categoria non trovata"))</f>
      </c>
      <c r="I447"/>
    </row>
    <row r="448" spans="2:9" x14ac:dyDescent="0.3">
      <c r="B448" s="57"/>
      <c r="C448" s="5"/>
      <c r="D448" s="5"/>
      <c r="E448" s="6"/>
      <c r="F448" s="7">
        <f t="shared" si="12"/>
      </c>
      <c r="G448" s="7">
        <f t="shared" si="13"/>
      </c>
      <c r="H448" s="7">
        <f>IF($C448="","",IFERROR(INDEX(Impostazioni!$C$9:$C$38,MATCH($C448,Impostazioni!$B$9:$B$38,0)),"?? categoria non trovata"))</f>
      </c>
      <c r="I448"/>
    </row>
    <row r="449" spans="2:9" x14ac:dyDescent="0.3">
      <c r="B449" s="57"/>
      <c r="C449" s="5"/>
      <c r="D449" s="5"/>
      <c r="E449" s="6"/>
      <c r="F449" s="7">
        <f t="shared" si="12"/>
      </c>
      <c r="G449" s="7">
        <f t="shared" si="13"/>
      </c>
      <c r="H449" s="7">
        <f>IF($C449="","",IFERROR(INDEX(Impostazioni!$C$9:$C$38,MATCH($C449,Impostazioni!$B$9:$B$38,0)),"?? categoria non trovata"))</f>
      </c>
      <c r="I449"/>
    </row>
    <row r="450" spans="2:9" x14ac:dyDescent="0.3">
      <c r="B450" s="57"/>
      <c r="C450" s="5"/>
      <c r="D450" s="5"/>
      <c r="E450" s="6"/>
      <c r="F450" s="7">
        <f t="shared" si="12"/>
      </c>
      <c r="G450" s="7">
        <f t="shared" si="13"/>
      </c>
      <c r="H450" s="7">
        <f>IF($C450="","",IFERROR(INDEX(Impostazioni!$C$9:$C$38,MATCH($C450,Impostazioni!$B$9:$B$38,0)),"?? categoria non trovata"))</f>
      </c>
      <c r="I450"/>
    </row>
    <row r="451" spans="2:9" x14ac:dyDescent="0.3">
      <c r="B451" s="57"/>
      <c r="C451" s="5"/>
      <c r="D451" s="5"/>
      <c r="E451" s="6"/>
      <c r="F451" s="7">
        <f t="shared" si="12"/>
      </c>
      <c r="G451" s="7">
        <f t="shared" si="13"/>
      </c>
      <c r="H451" s="7">
        <f>IF($C451="","",IFERROR(INDEX(Impostazioni!$C$9:$C$38,MATCH($C451,Impostazioni!$B$9:$B$38,0)),"?? categoria non trovata"))</f>
      </c>
      <c r="I451"/>
    </row>
    <row r="452" spans="2:9" x14ac:dyDescent="0.3">
      <c r="B452" s="57"/>
      <c r="C452" s="5"/>
      <c r="D452" s="5"/>
      <c r="E452" s="6"/>
      <c r="F452" s="7">
        <f t="shared" si="12"/>
      </c>
      <c r="G452" s="7">
        <f t="shared" si="13"/>
      </c>
      <c r="H452" s="7">
        <f>IF($C452="","",IFERROR(INDEX(Impostazioni!$C$9:$C$38,MATCH($C452,Impostazioni!$B$9:$B$38,0)),"?? categoria non trovata"))</f>
      </c>
      <c r="I452"/>
    </row>
    <row r="453" spans="2:9" x14ac:dyDescent="0.3">
      <c r="B453" s="57"/>
      <c r="C453" s="5"/>
      <c r="D453" s="5"/>
      <c r="E453" s="6"/>
      <c r="F453" s="7">
        <f t="shared" ref="F453:F504" si="14">IF($B453="","",MONTH($B453))</f>
      </c>
      <c r="G453" s="7">
        <f t="shared" ref="G453:G504" si="15">IF($B453="","",YEAR($B453))</f>
      </c>
      <c r="H453" s="7">
        <f>IF($C453="","",IFERROR(INDEX(Impostazioni!$C$9:$C$38,MATCH($C453,Impostazioni!$B$9:$B$38,0)),"?? categoria non trovata"))</f>
      </c>
      <c r="I453"/>
    </row>
    <row r="454" spans="2:9" x14ac:dyDescent="0.3">
      <c r="B454" s="57"/>
      <c r="C454" s="5"/>
      <c r="D454" s="5"/>
      <c r="E454" s="6"/>
      <c r="F454" s="7">
        <f t="shared" si="14"/>
      </c>
      <c r="G454" s="7">
        <f t="shared" si="15"/>
      </c>
      <c r="H454" s="7">
        <f>IF($C454="","",IFERROR(INDEX(Impostazioni!$C$9:$C$38,MATCH($C454,Impostazioni!$B$9:$B$38,0)),"?? categoria non trovata"))</f>
      </c>
      <c r="I454"/>
    </row>
    <row r="455" spans="2:9" x14ac:dyDescent="0.3">
      <c r="B455" s="57"/>
      <c r="C455" s="5"/>
      <c r="D455" s="5"/>
      <c r="E455" s="6"/>
      <c r="F455" s="7">
        <f t="shared" si="14"/>
      </c>
      <c r="G455" s="7">
        <f t="shared" si="15"/>
      </c>
      <c r="H455" s="7">
        <f>IF($C455="","",IFERROR(INDEX(Impostazioni!$C$9:$C$38,MATCH($C455,Impostazioni!$B$9:$B$38,0)),"?? categoria non trovata"))</f>
      </c>
      <c r="I455"/>
    </row>
    <row r="456" spans="2:9" x14ac:dyDescent="0.3">
      <c r="B456" s="57"/>
      <c r="C456" s="5"/>
      <c r="D456" s="5"/>
      <c r="E456" s="6"/>
      <c r="F456" s="7">
        <f t="shared" si="14"/>
      </c>
      <c r="G456" s="7">
        <f t="shared" si="15"/>
      </c>
      <c r="H456" s="7">
        <f>IF($C456="","",IFERROR(INDEX(Impostazioni!$C$9:$C$38,MATCH($C456,Impostazioni!$B$9:$B$38,0)),"?? categoria non trovata"))</f>
      </c>
      <c r="I456"/>
    </row>
    <row r="457" spans="2:9" x14ac:dyDescent="0.3">
      <c r="B457" s="57"/>
      <c r="C457" s="5"/>
      <c r="D457" s="5"/>
      <c r="E457" s="6"/>
      <c r="F457" s="7">
        <f t="shared" si="14"/>
      </c>
      <c r="G457" s="7">
        <f t="shared" si="15"/>
      </c>
      <c r="H457" s="7">
        <f>IF($C457="","",IFERROR(INDEX(Impostazioni!$C$9:$C$38,MATCH($C457,Impostazioni!$B$9:$B$38,0)),"?? categoria non trovata"))</f>
      </c>
      <c r="I457"/>
    </row>
    <row r="458" spans="2:9" x14ac:dyDescent="0.3">
      <c r="B458" s="57"/>
      <c r="C458" s="5"/>
      <c r="D458" s="5"/>
      <c r="E458" s="6"/>
      <c r="F458" s="7">
        <f t="shared" si="14"/>
      </c>
      <c r="G458" s="7">
        <f t="shared" si="15"/>
      </c>
      <c r="H458" s="7">
        <f>IF($C458="","",IFERROR(INDEX(Impostazioni!$C$9:$C$38,MATCH($C458,Impostazioni!$B$9:$B$38,0)),"?? categoria non trovata"))</f>
      </c>
      <c r="I458"/>
    </row>
    <row r="459" spans="2:9" x14ac:dyDescent="0.3">
      <c r="B459" s="57"/>
      <c r="C459" s="5"/>
      <c r="D459" s="5"/>
      <c r="E459" s="6"/>
      <c r="F459" s="7">
        <f t="shared" si="14"/>
      </c>
      <c r="G459" s="7">
        <f t="shared" si="15"/>
      </c>
      <c r="H459" s="7">
        <f>IF($C459="","",IFERROR(INDEX(Impostazioni!$C$9:$C$38,MATCH($C459,Impostazioni!$B$9:$B$38,0)),"?? categoria non trovata"))</f>
      </c>
      <c r="I459"/>
    </row>
    <row r="460" spans="2:9" x14ac:dyDescent="0.3">
      <c r="B460" s="57"/>
      <c r="C460" s="5"/>
      <c r="D460" s="5"/>
      <c r="E460" s="6"/>
      <c r="F460" s="7">
        <f t="shared" si="14"/>
      </c>
      <c r="G460" s="7">
        <f t="shared" si="15"/>
      </c>
      <c r="H460" s="7">
        <f>IF($C460="","",IFERROR(INDEX(Impostazioni!$C$9:$C$38,MATCH($C460,Impostazioni!$B$9:$B$38,0)),"?? categoria non trovata"))</f>
      </c>
      <c r="I460"/>
    </row>
    <row r="461" spans="2:9" x14ac:dyDescent="0.3">
      <c r="B461" s="57"/>
      <c r="C461" s="5"/>
      <c r="D461" s="5"/>
      <c r="E461" s="6"/>
      <c r="F461" s="7">
        <f t="shared" si="14"/>
      </c>
      <c r="G461" s="7">
        <f t="shared" si="15"/>
      </c>
      <c r="H461" s="7">
        <f>IF($C461="","",IFERROR(INDEX(Impostazioni!$C$9:$C$38,MATCH($C461,Impostazioni!$B$9:$B$38,0)),"?? categoria non trovata"))</f>
      </c>
      <c r="I461"/>
    </row>
    <row r="462" spans="2:9" x14ac:dyDescent="0.3">
      <c r="B462" s="57"/>
      <c r="C462" s="5"/>
      <c r="D462" s="5"/>
      <c r="E462" s="6"/>
      <c r="F462" s="7">
        <f t="shared" si="14"/>
      </c>
      <c r="G462" s="7">
        <f t="shared" si="15"/>
      </c>
      <c r="H462" s="7">
        <f>IF($C462="","",IFERROR(INDEX(Impostazioni!$C$9:$C$38,MATCH($C462,Impostazioni!$B$9:$B$38,0)),"?? categoria non trovata"))</f>
      </c>
      <c r="I462"/>
    </row>
    <row r="463" spans="2:9" x14ac:dyDescent="0.3">
      <c r="B463" s="57"/>
      <c r="C463" s="5"/>
      <c r="D463" s="5"/>
      <c r="E463" s="6"/>
      <c r="F463" s="7">
        <f t="shared" si="14"/>
      </c>
      <c r="G463" s="7">
        <f t="shared" si="15"/>
      </c>
      <c r="H463" s="7">
        <f>IF($C463="","",IFERROR(INDEX(Impostazioni!$C$9:$C$38,MATCH($C463,Impostazioni!$B$9:$B$38,0)),"?? categoria non trovata"))</f>
      </c>
      <c r="I463"/>
    </row>
    <row r="464" spans="2:9" x14ac:dyDescent="0.3">
      <c r="B464" s="57"/>
      <c r="C464" s="5"/>
      <c r="D464" s="5"/>
      <c r="E464" s="6"/>
      <c r="F464" s="7">
        <f t="shared" si="14"/>
      </c>
      <c r="G464" s="7">
        <f t="shared" si="15"/>
      </c>
      <c r="H464" s="7">
        <f>IF($C464="","",IFERROR(INDEX(Impostazioni!$C$9:$C$38,MATCH($C464,Impostazioni!$B$9:$B$38,0)),"?? categoria non trovata"))</f>
      </c>
      <c r="I464"/>
    </row>
    <row r="465" spans="2:9" x14ac:dyDescent="0.3">
      <c r="B465" s="57"/>
      <c r="C465" s="5"/>
      <c r="D465" s="5"/>
      <c r="E465" s="6"/>
      <c r="F465" s="7">
        <f t="shared" si="14"/>
      </c>
      <c r="G465" s="7">
        <f t="shared" si="15"/>
      </c>
      <c r="H465" s="7">
        <f>IF($C465="","",IFERROR(INDEX(Impostazioni!$C$9:$C$38,MATCH($C465,Impostazioni!$B$9:$B$38,0)),"?? categoria non trovata"))</f>
      </c>
      <c r="I465"/>
    </row>
    <row r="466" spans="2:9" x14ac:dyDescent="0.3">
      <c r="B466" s="57"/>
      <c r="C466" s="5"/>
      <c r="D466" s="5"/>
      <c r="E466" s="6"/>
      <c r="F466" s="7">
        <f t="shared" si="14"/>
      </c>
      <c r="G466" s="7">
        <f t="shared" si="15"/>
      </c>
      <c r="H466" s="7">
        <f>IF($C466="","",IFERROR(INDEX(Impostazioni!$C$9:$C$38,MATCH($C466,Impostazioni!$B$9:$B$38,0)),"?? categoria non trovata"))</f>
      </c>
      <c r="I466"/>
    </row>
    <row r="467" spans="2:9" x14ac:dyDescent="0.3">
      <c r="B467" s="57"/>
      <c r="C467" s="5"/>
      <c r="D467" s="5"/>
      <c r="E467" s="6"/>
      <c r="F467" s="7">
        <f t="shared" si="14"/>
      </c>
      <c r="G467" s="7">
        <f t="shared" si="15"/>
      </c>
      <c r="H467" s="7">
        <f>IF($C467="","",IFERROR(INDEX(Impostazioni!$C$9:$C$38,MATCH($C467,Impostazioni!$B$9:$B$38,0)),"?? categoria non trovata"))</f>
      </c>
      <c r="I467"/>
    </row>
    <row r="468" spans="2:9" x14ac:dyDescent="0.3">
      <c r="B468" s="57"/>
      <c r="C468" s="5"/>
      <c r="D468" s="5"/>
      <c r="E468" s="6"/>
      <c r="F468" s="7">
        <f t="shared" si="14"/>
      </c>
      <c r="G468" s="7">
        <f t="shared" si="15"/>
      </c>
      <c r="H468" s="7">
        <f>IF($C468="","",IFERROR(INDEX(Impostazioni!$C$9:$C$38,MATCH($C468,Impostazioni!$B$9:$B$38,0)),"?? categoria non trovata"))</f>
      </c>
      <c r="I468"/>
    </row>
    <row r="469" spans="2:9" x14ac:dyDescent="0.3">
      <c r="B469" s="57"/>
      <c r="C469" s="5"/>
      <c r="D469" s="5"/>
      <c r="E469" s="6"/>
      <c r="F469" s="7">
        <f t="shared" si="14"/>
      </c>
      <c r="G469" s="7">
        <f t="shared" si="15"/>
      </c>
      <c r="H469" s="7">
        <f>IF($C469="","",IFERROR(INDEX(Impostazioni!$C$9:$C$38,MATCH($C469,Impostazioni!$B$9:$B$38,0)),"?? categoria non trovata"))</f>
      </c>
      <c r="I469"/>
    </row>
    <row r="470" spans="2:9" x14ac:dyDescent="0.3">
      <c r="B470" s="57"/>
      <c r="C470" s="5"/>
      <c r="D470" s="5"/>
      <c r="E470" s="6"/>
      <c r="F470" s="7">
        <f t="shared" si="14"/>
      </c>
      <c r="G470" s="7">
        <f t="shared" si="15"/>
      </c>
      <c r="H470" s="7">
        <f>IF($C470="","",IFERROR(INDEX(Impostazioni!$C$9:$C$38,MATCH($C470,Impostazioni!$B$9:$B$38,0)),"?? categoria non trovata"))</f>
      </c>
      <c r="I470"/>
    </row>
    <row r="471" spans="2:9" x14ac:dyDescent="0.3">
      <c r="B471" s="57"/>
      <c r="C471" s="5"/>
      <c r="D471" s="5"/>
      <c r="E471" s="6"/>
      <c r="F471" s="7">
        <f t="shared" si="14"/>
      </c>
      <c r="G471" s="7">
        <f t="shared" si="15"/>
      </c>
      <c r="H471" s="7">
        <f>IF($C471="","",IFERROR(INDEX(Impostazioni!$C$9:$C$38,MATCH($C471,Impostazioni!$B$9:$B$38,0)),"?? categoria non trovata"))</f>
      </c>
      <c r="I471"/>
    </row>
    <row r="472" spans="2:9" x14ac:dyDescent="0.3">
      <c r="B472" s="57"/>
      <c r="C472" s="5"/>
      <c r="D472" s="5"/>
      <c r="E472" s="6"/>
      <c r="F472" s="7">
        <f t="shared" si="14"/>
      </c>
      <c r="G472" s="7">
        <f t="shared" si="15"/>
      </c>
      <c r="H472" s="7">
        <f>IF($C472="","",IFERROR(INDEX(Impostazioni!$C$9:$C$38,MATCH($C472,Impostazioni!$B$9:$B$38,0)),"?? categoria non trovata"))</f>
      </c>
      <c r="I472"/>
    </row>
    <row r="473" spans="2:9" x14ac:dyDescent="0.3">
      <c r="B473" s="57"/>
      <c r="C473" s="5"/>
      <c r="D473" s="5"/>
      <c r="E473" s="6"/>
      <c r="F473" s="7">
        <f t="shared" si="14"/>
      </c>
      <c r="G473" s="7">
        <f t="shared" si="15"/>
      </c>
      <c r="H473" s="7">
        <f>IF($C473="","",IFERROR(INDEX(Impostazioni!$C$9:$C$38,MATCH($C473,Impostazioni!$B$9:$B$38,0)),"?? categoria non trovata"))</f>
      </c>
      <c r="I473"/>
    </row>
    <row r="474" spans="2:9" x14ac:dyDescent="0.3">
      <c r="B474" s="57"/>
      <c r="C474" s="5"/>
      <c r="D474" s="5"/>
      <c r="E474" s="6"/>
      <c r="F474" s="7">
        <f t="shared" si="14"/>
      </c>
      <c r="G474" s="7">
        <f t="shared" si="15"/>
      </c>
      <c r="H474" s="7">
        <f>IF($C474="","",IFERROR(INDEX(Impostazioni!$C$9:$C$38,MATCH($C474,Impostazioni!$B$9:$B$38,0)),"?? categoria non trovata"))</f>
      </c>
      <c r="I474"/>
    </row>
    <row r="475" spans="2:9" x14ac:dyDescent="0.3">
      <c r="B475" s="57"/>
      <c r="C475" s="5"/>
      <c r="D475" s="5"/>
      <c r="E475" s="6"/>
      <c r="F475" s="7">
        <f t="shared" si="14"/>
      </c>
      <c r="G475" s="7">
        <f t="shared" si="15"/>
      </c>
      <c r="H475" s="7">
        <f>IF($C475="","",IFERROR(INDEX(Impostazioni!$C$9:$C$38,MATCH($C475,Impostazioni!$B$9:$B$38,0)),"?? categoria non trovata"))</f>
      </c>
      <c r="I475"/>
    </row>
    <row r="476" spans="2:9" x14ac:dyDescent="0.3">
      <c r="B476" s="57"/>
      <c r="C476" s="5"/>
      <c r="D476" s="5"/>
      <c r="E476" s="6"/>
      <c r="F476" s="7">
        <f t="shared" si="14"/>
      </c>
      <c r="G476" s="7">
        <f t="shared" si="15"/>
      </c>
      <c r="H476" s="7">
        <f>IF($C476="","",IFERROR(INDEX(Impostazioni!$C$9:$C$38,MATCH($C476,Impostazioni!$B$9:$B$38,0)),"?? categoria non trovata"))</f>
      </c>
      <c r="I476"/>
    </row>
    <row r="477" spans="2:9" x14ac:dyDescent="0.3">
      <c r="B477" s="57"/>
      <c r="C477" s="5"/>
      <c r="D477" s="5"/>
      <c r="E477" s="6"/>
      <c r="F477" s="7">
        <f t="shared" si="14"/>
      </c>
      <c r="G477" s="7">
        <f t="shared" si="15"/>
      </c>
      <c r="H477" s="7">
        <f>IF($C477="","",IFERROR(INDEX(Impostazioni!$C$9:$C$38,MATCH($C477,Impostazioni!$B$9:$B$38,0)),"?? categoria non trovata"))</f>
      </c>
      <c r="I477"/>
    </row>
    <row r="478" spans="2:9" x14ac:dyDescent="0.3">
      <c r="B478" s="57"/>
      <c r="C478" s="5"/>
      <c r="D478" s="5"/>
      <c r="E478" s="6"/>
      <c r="F478" s="7">
        <f t="shared" si="14"/>
      </c>
      <c r="G478" s="7">
        <f t="shared" si="15"/>
      </c>
      <c r="H478" s="7">
        <f>IF($C478="","",IFERROR(INDEX(Impostazioni!$C$9:$C$38,MATCH($C478,Impostazioni!$B$9:$B$38,0)),"?? categoria non trovata"))</f>
      </c>
      <c r="I478"/>
    </row>
    <row r="479" spans="2:9" x14ac:dyDescent="0.3">
      <c r="B479" s="57"/>
      <c r="C479" s="5"/>
      <c r="D479" s="5"/>
      <c r="E479" s="6"/>
      <c r="F479" s="7">
        <f t="shared" si="14"/>
      </c>
      <c r="G479" s="7">
        <f t="shared" si="15"/>
      </c>
      <c r="H479" s="7">
        <f>IF($C479="","",IFERROR(INDEX(Impostazioni!$C$9:$C$38,MATCH($C479,Impostazioni!$B$9:$B$38,0)),"?? categoria non trovata"))</f>
      </c>
      <c r="I479"/>
    </row>
    <row r="480" spans="2:9" x14ac:dyDescent="0.3">
      <c r="B480" s="57"/>
      <c r="C480" s="5"/>
      <c r="D480" s="5"/>
      <c r="E480" s="6"/>
      <c r="F480" s="7">
        <f t="shared" si="14"/>
      </c>
      <c r="G480" s="7">
        <f t="shared" si="15"/>
      </c>
      <c r="H480" s="7">
        <f>IF($C480="","",IFERROR(INDEX(Impostazioni!$C$9:$C$38,MATCH($C480,Impostazioni!$B$9:$B$38,0)),"?? categoria non trovata"))</f>
      </c>
      <c r="I480"/>
    </row>
    <row r="481" spans="2:9" x14ac:dyDescent="0.3">
      <c r="B481" s="57"/>
      <c r="C481" s="5"/>
      <c r="D481" s="5"/>
      <c r="E481" s="6"/>
      <c r="F481" s="7">
        <f t="shared" si="14"/>
      </c>
      <c r="G481" s="7">
        <f t="shared" si="15"/>
      </c>
      <c r="H481" s="7">
        <f>IF($C481="","",IFERROR(INDEX(Impostazioni!$C$9:$C$38,MATCH($C481,Impostazioni!$B$9:$B$38,0)),"?? categoria non trovata"))</f>
      </c>
      <c r="I481"/>
    </row>
    <row r="482" spans="2:9" x14ac:dyDescent="0.3">
      <c r="B482" s="57"/>
      <c r="C482" s="5"/>
      <c r="D482" s="5"/>
      <c r="E482" s="6"/>
      <c r="F482" s="7">
        <f t="shared" si="14"/>
      </c>
      <c r="G482" s="7">
        <f t="shared" si="15"/>
      </c>
      <c r="H482" s="7">
        <f>IF($C482="","",IFERROR(INDEX(Impostazioni!$C$9:$C$38,MATCH($C482,Impostazioni!$B$9:$B$38,0)),"?? categoria non trovata"))</f>
      </c>
      <c r="I482"/>
    </row>
    <row r="483" spans="2:9" x14ac:dyDescent="0.3">
      <c r="B483" s="57"/>
      <c r="C483" s="5"/>
      <c r="D483" s="5"/>
      <c r="E483" s="6"/>
      <c r="F483" s="7">
        <f t="shared" si="14"/>
      </c>
      <c r="G483" s="7">
        <f t="shared" si="15"/>
      </c>
      <c r="H483" s="7">
        <f>IF($C483="","",IFERROR(INDEX(Impostazioni!$C$9:$C$38,MATCH($C483,Impostazioni!$B$9:$B$38,0)),"?? categoria non trovata"))</f>
      </c>
      <c r="I483"/>
    </row>
    <row r="484" spans="2:9" x14ac:dyDescent="0.3">
      <c r="B484" s="57"/>
      <c r="C484" s="5"/>
      <c r="D484" s="5"/>
      <c r="E484" s="6"/>
      <c r="F484" s="7">
        <f t="shared" si="14"/>
      </c>
      <c r="G484" s="7">
        <f t="shared" si="15"/>
      </c>
      <c r="H484" s="7">
        <f>IF($C484="","",IFERROR(INDEX(Impostazioni!$C$9:$C$38,MATCH($C484,Impostazioni!$B$9:$B$38,0)),"?? categoria non trovata"))</f>
      </c>
      <c r="I484"/>
    </row>
    <row r="485" spans="2:9" x14ac:dyDescent="0.3">
      <c r="B485" s="57"/>
      <c r="C485" s="5"/>
      <c r="D485" s="5"/>
      <c r="E485" s="6"/>
      <c r="F485" s="7">
        <f t="shared" si="14"/>
      </c>
      <c r="G485" s="7">
        <f t="shared" si="15"/>
      </c>
      <c r="H485" s="7">
        <f>IF($C485="","",IFERROR(INDEX(Impostazioni!$C$9:$C$38,MATCH($C485,Impostazioni!$B$9:$B$38,0)),"?? categoria non trovata"))</f>
      </c>
      <c r="I485"/>
    </row>
    <row r="486" spans="2:9" x14ac:dyDescent="0.3">
      <c r="B486" s="57"/>
      <c r="C486" s="5"/>
      <c r="D486" s="5"/>
      <c r="E486" s="6"/>
      <c r="F486" s="7">
        <f t="shared" si="14"/>
      </c>
      <c r="G486" s="7">
        <f t="shared" si="15"/>
      </c>
      <c r="H486" s="7">
        <f>IF($C486="","",IFERROR(INDEX(Impostazioni!$C$9:$C$38,MATCH($C486,Impostazioni!$B$9:$B$38,0)),"?? categoria non trovata"))</f>
      </c>
      <c r="I486"/>
    </row>
    <row r="487" spans="2:9" x14ac:dyDescent="0.3">
      <c r="B487" s="57"/>
      <c r="C487" s="5"/>
      <c r="D487" s="5"/>
      <c r="E487" s="6"/>
      <c r="F487" s="7">
        <f t="shared" si="14"/>
      </c>
      <c r="G487" s="7">
        <f t="shared" si="15"/>
      </c>
      <c r="H487" s="7">
        <f>IF($C487="","",IFERROR(INDEX(Impostazioni!$C$9:$C$38,MATCH($C487,Impostazioni!$B$9:$B$38,0)),"?? categoria non trovata"))</f>
      </c>
      <c r="I487"/>
    </row>
    <row r="488" spans="2:9" x14ac:dyDescent="0.3">
      <c r="B488" s="57"/>
      <c r="C488" s="5"/>
      <c r="D488" s="5"/>
      <c r="E488" s="6"/>
      <c r="F488" s="7">
        <f t="shared" si="14"/>
      </c>
      <c r="G488" s="7">
        <f t="shared" si="15"/>
      </c>
      <c r="H488" s="7">
        <f>IF($C488="","",IFERROR(INDEX(Impostazioni!$C$9:$C$38,MATCH($C488,Impostazioni!$B$9:$B$38,0)),"?? categoria non trovata"))</f>
      </c>
      <c r="I488"/>
    </row>
    <row r="489" spans="2:9" x14ac:dyDescent="0.3">
      <c r="B489" s="57"/>
      <c r="C489" s="5"/>
      <c r="D489" s="5"/>
      <c r="E489" s="6"/>
      <c r="F489" s="7">
        <f t="shared" si="14"/>
      </c>
      <c r="G489" s="7">
        <f t="shared" si="15"/>
      </c>
      <c r="H489" s="7">
        <f>IF($C489="","",IFERROR(INDEX(Impostazioni!$C$9:$C$38,MATCH($C489,Impostazioni!$B$9:$B$38,0)),"?? categoria non trovata"))</f>
      </c>
      <c r="I489"/>
    </row>
    <row r="490" spans="2:9" x14ac:dyDescent="0.3">
      <c r="B490" s="57"/>
      <c r="C490" s="5"/>
      <c r="D490" s="5"/>
      <c r="E490" s="6"/>
      <c r="F490" s="7">
        <f t="shared" si="14"/>
      </c>
      <c r="G490" s="7">
        <f t="shared" si="15"/>
      </c>
      <c r="H490" s="7">
        <f>IF($C490="","",IFERROR(INDEX(Impostazioni!$C$9:$C$38,MATCH($C490,Impostazioni!$B$9:$B$38,0)),"?? categoria non trovata"))</f>
      </c>
      <c r="I490"/>
    </row>
    <row r="491" spans="2:9" x14ac:dyDescent="0.3">
      <c r="B491" s="57"/>
      <c r="C491" s="5"/>
      <c r="D491" s="5"/>
      <c r="E491" s="6"/>
      <c r="F491" s="7">
        <f t="shared" si="14"/>
      </c>
      <c r="G491" s="7">
        <f t="shared" si="15"/>
      </c>
      <c r="H491" s="7">
        <f>IF($C491="","",IFERROR(INDEX(Impostazioni!$C$9:$C$38,MATCH($C491,Impostazioni!$B$9:$B$38,0)),"?? categoria non trovata"))</f>
      </c>
      <c r="I491"/>
    </row>
    <row r="492" spans="2:9" x14ac:dyDescent="0.3">
      <c r="B492" s="57"/>
      <c r="C492" s="5"/>
      <c r="D492" s="5"/>
      <c r="E492" s="6"/>
      <c r="F492" s="7">
        <f t="shared" si="14"/>
      </c>
      <c r="G492" s="7">
        <f t="shared" si="15"/>
      </c>
      <c r="H492" s="7">
        <f>IF($C492="","",IFERROR(INDEX(Impostazioni!$C$9:$C$38,MATCH($C492,Impostazioni!$B$9:$B$38,0)),"?? categoria non trovata"))</f>
      </c>
      <c r="I492"/>
    </row>
    <row r="493" spans="2:9" x14ac:dyDescent="0.3">
      <c r="B493" s="57"/>
      <c r="C493" s="5"/>
      <c r="D493" s="5"/>
      <c r="E493" s="6"/>
      <c r="F493" s="7">
        <f t="shared" si="14"/>
      </c>
      <c r="G493" s="7">
        <f t="shared" si="15"/>
      </c>
      <c r="H493" s="7">
        <f>IF($C493="","",IFERROR(INDEX(Impostazioni!$C$9:$C$38,MATCH($C493,Impostazioni!$B$9:$B$38,0)),"?? categoria non trovata"))</f>
      </c>
      <c r="I493"/>
    </row>
    <row r="494" spans="2:9" x14ac:dyDescent="0.3">
      <c r="B494" s="57"/>
      <c r="C494" s="5"/>
      <c r="D494" s="5"/>
      <c r="E494" s="6"/>
      <c r="F494" s="7">
        <f t="shared" si="14"/>
      </c>
      <c r="G494" s="7">
        <f t="shared" si="15"/>
      </c>
      <c r="H494" s="7">
        <f>IF($C494="","",IFERROR(INDEX(Impostazioni!$C$9:$C$38,MATCH($C494,Impostazioni!$B$9:$B$38,0)),"?? categoria non trovata"))</f>
      </c>
      <c r="I494"/>
    </row>
    <row r="495" spans="2:9" x14ac:dyDescent="0.3">
      <c r="B495" s="57"/>
      <c r="C495" s="5"/>
      <c r="D495" s="5"/>
      <c r="E495" s="6"/>
      <c r="F495" s="7">
        <f t="shared" si="14"/>
      </c>
      <c r="G495" s="7">
        <f t="shared" si="15"/>
      </c>
      <c r="H495" s="7">
        <f>IF($C495="","",IFERROR(INDEX(Impostazioni!$C$9:$C$38,MATCH($C495,Impostazioni!$B$9:$B$38,0)),"?? categoria non trovata"))</f>
      </c>
      <c r="I495"/>
    </row>
    <row r="496" spans="2:9" x14ac:dyDescent="0.3">
      <c r="B496" s="57"/>
      <c r="C496" s="5"/>
      <c r="D496" s="5"/>
      <c r="E496" s="6"/>
      <c r="F496" s="7">
        <f t="shared" si="14"/>
      </c>
      <c r="G496" s="7">
        <f t="shared" si="15"/>
      </c>
      <c r="H496" s="7">
        <f>IF($C496="","",IFERROR(INDEX(Impostazioni!$C$9:$C$38,MATCH($C496,Impostazioni!$B$9:$B$38,0)),"?? categoria non trovata"))</f>
      </c>
      <c r="I496"/>
    </row>
    <row r="497" spans="2:9" x14ac:dyDescent="0.3">
      <c r="B497" s="57"/>
      <c r="C497" s="5"/>
      <c r="D497" s="5"/>
      <c r="E497" s="6"/>
      <c r="F497" s="7">
        <f t="shared" si="14"/>
      </c>
      <c r="G497" s="7">
        <f t="shared" si="15"/>
      </c>
      <c r="H497" s="7">
        <f>IF($C497="","",IFERROR(INDEX(Impostazioni!$C$9:$C$38,MATCH($C497,Impostazioni!$B$9:$B$38,0)),"?? categoria non trovata"))</f>
      </c>
      <c r="I497"/>
    </row>
    <row r="498" spans="2:9" x14ac:dyDescent="0.3">
      <c r="B498" s="57"/>
      <c r="C498" s="5"/>
      <c r="D498" s="5"/>
      <c r="E498" s="6"/>
      <c r="F498" s="7">
        <f t="shared" si="14"/>
      </c>
      <c r="G498" s="7">
        <f t="shared" si="15"/>
      </c>
      <c r="H498" s="7">
        <f>IF($C498="","",IFERROR(INDEX(Impostazioni!$C$9:$C$38,MATCH($C498,Impostazioni!$B$9:$B$38,0)),"?? categoria non trovata"))</f>
      </c>
      <c r="I498"/>
    </row>
    <row r="499" spans="2:9" x14ac:dyDescent="0.3">
      <c r="B499" s="57"/>
      <c r="C499" s="5"/>
      <c r="D499" s="5"/>
      <c r="E499" s="6"/>
      <c r="F499" s="7">
        <f t="shared" si="14"/>
      </c>
      <c r="G499" s="7">
        <f t="shared" si="15"/>
      </c>
      <c r="H499" s="7">
        <f>IF($C499="","",IFERROR(INDEX(Impostazioni!$C$9:$C$38,MATCH($C499,Impostazioni!$B$9:$B$38,0)),"?? categoria non trovata"))</f>
      </c>
      <c r="I499"/>
    </row>
    <row r="500" spans="2:9" x14ac:dyDescent="0.3">
      <c r="B500" s="57"/>
      <c r="C500" s="5"/>
      <c r="D500" s="5"/>
      <c r="E500" s="6"/>
      <c r="F500" s="7">
        <f t="shared" si="14"/>
      </c>
      <c r="G500" s="7">
        <f t="shared" si="15"/>
      </c>
      <c r="H500" s="7">
        <f>IF($C500="","",IFERROR(INDEX(Impostazioni!$C$9:$C$38,MATCH($C500,Impostazioni!$B$9:$B$38,0)),"?? categoria non trovata"))</f>
      </c>
      <c r="I500"/>
    </row>
    <row r="501" spans="2:9" x14ac:dyDescent="0.3">
      <c r="B501" s="57"/>
      <c r="C501" s="5"/>
      <c r="D501" s="5"/>
      <c r="E501" s="6"/>
      <c r="F501" s="7">
        <f t="shared" si="14"/>
      </c>
      <c r="G501" s="7">
        <f t="shared" si="15"/>
      </c>
      <c r="H501" s="7">
        <f>IF($C501="","",IFERROR(INDEX(Impostazioni!$C$9:$C$38,MATCH($C501,Impostazioni!$B$9:$B$38,0)),"?? categoria non trovata"))</f>
      </c>
      <c r="I501"/>
    </row>
    <row r="502" spans="2:9" x14ac:dyDescent="0.3">
      <c r="B502" s="57"/>
      <c r="C502" s="5"/>
      <c r="D502" s="5"/>
      <c r="E502" s="6"/>
      <c r="F502" s="7">
        <f t="shared" si="14"/>
      </c>
      <c r="G502" s="7">
        <f t="shared" si="15"/>
      </c>
      <c r="H502" s="7">
        <f>IF($C502="","",IFERROR(INDEX(Impostazioni!$C$9:$C$38,MATCH($C502,Impostazioni!$B$9:$B$38,0)),"?? categoria non trovata"))</f>
      </c>
      <c r="I502"/>
    </row>
    <row r="503" spans="2:9" x14ac:dyDescent="0.3">
      <c r="B503" s="57"/>
      <c r="C503" s="5"/>
      <c r="D503" s="5"/>
      <c r="E503" s="6"/>
      <c r="F503" s="7">
        <f t="shared" si="14"/>
      </c>
      <c r="G503" s="7">
        <f t="shared" si="15"/>
      </c>
      <c r="H503" s="7">
        <f>IF($C503="","",IFERROR(INDEX(Impostazioni!$C$9:$C$38,MATCH($C503,Impostazioni!$B$9:$B$38,0)),"?? categoria non trovata"))</f>
      </c>
      <c r="I503"/>
    </row>
    <row r="504" spans="2:9" x14ac:dyDescent="0.3">
      <c r="B504" s="57"/>
      <c r="C504" s="5"/>
      <c r="D504" s="5"/>
      <c r="E504" s="6"/>
      <c r="F504" s="7">
        <f t="shared" si="14"/>
      </c>
      <c r="G504" s="7">
        <f t="shared" si="15"/>
      </c>
      <c r="H504" s="7">
        <f>IF($C504="","",IFERROR(INDEX(Impostazioni!$C$9:$C$38,MATCH($C504,Impostazioni!$B$9:$B$38,0)),"?? categoria non trovata"))</f>
      </c>
      <c r="I504"/>
    </row>
  </sheetData>
  <autoFilter ref="B4:I504" xr:uid="{00000000-0009-0000-0000-000000000000}"/>
  <mergeCells count="1">
    <mergeCell ref="B2:H2"/>
  </mergeCells>
  <conditionalFormatting sqref="H5:H504">
    <cfRule type="expression" dxfId="7" priority="2">
      <formula>ISNUMBER(SEARCH("non trovata",$H5))</formula>
    </cfRule>
  </conditionalFormatting>
  <dataValidations disablePrompts="1" count="1">
    <dataValidation type="list" allowBlank="1" errorTitle="Categoria non valida" error="Scegli una categoria dall'elenco delle Impostazioni." sqref="C5:C504" xr:uid="{00000000-0002-0000-0000-000000000000}">
      <formula1>Categorie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4"/>
  <sheetViews>
    <sheetView showGridLines="0" zoomScaleNormal="100" workbookViewId="0">
      <selection activeCell="D40" sqref="D40"/>
    </sheetView>
  </sheetViews>
  <sheetFormatPr defaultColWidth="8.5546875" defaultRowHeight="14.4" outlineLevelCol="1" x14ac:dyDescent="0.3"/>
  <cols>
    <col min="2" max="2" width="26" customWidth="1"/>
    <col min="3" max="3" width="24" customWidth="1"/>
    <col min="4" max="4" width="22.109375" customWidth="1"/>
    <col min="5" max="6" width="24" customWidth="1"/>
    <col min="7" max="8" width="3" customWidth="1"/>
    <col min="9" max="9" width="16" hidden="1" customWidth="1" outlineLevel="1"/>
    <col min="10" max="10" width="8.5546875" collapsed="1"/>
  </cols>
  <sheetData>
    <row r="2" spans="2:9" ht="21.75" customHeight="1" thickBot="1" x14ac:dyDescent="0.35">
      <c r="B2" s="60" t="inlineStr">
        <is>
          <t>IMPOSTAZIONI — categorie, budget e spese fisse</t>
        </is>
      </c>
      <c r="C2" s="60"/>
      <c r="D2" s="60"/>
      <c r="E2" s="60"/>
      <c r="F2" s="61"/>
      <c r="G2" s="4"/>
      <c r="H2" s="4"/>
      <c r="I2" s="4"/>
    </row>
    <row r="3" spans="2:9" ht="9" customHeight="1" x14ac:dyDescent="0.3">
      <c r="B3" s="56"/>
      <c r="C3" s="56"/>
      <c r="D3" s="56"/>
      <c r="E3" s="56"/>
      <c r="F3" s="56"/>
      <c r="G3" s="4"/>
      <c r="H3" s="4"/>
      <c r="I3" s="4"/>
    </row>
    <row r="4" spans="2:9" x14ac:dyDescent="0.3">
      <c r="B4" s="8" t="inlineStr">
        <is>
          <t>Anno di riferimento</t>
        </is>
      </c>
      <c r="C4" s="47">
        <v>2026</v>
      </c>
      <c r="D4" s="3"/>
      <c r="E4" s="4"/>
      <c r="F4" s="4"/>
      <c r="G4" s="4"/>
      <c r="H4" s="4"/>
      <c r="I4" s="4"/>
    </row>
    <row r="5" spans="2:9" ht="9" customHeight="1" x14ac:dyDescent="0.3">
      <c r="B5" s="4"/>
      <c r="C5" s="4"/>
      <c r="D5" s="4"/>
      <c r="E5" s="4"/>
      <c r="F5" s="4"/>
      <c r="G5" s="4"/>
      <c r="H5" s="4"/>
      <c r="I5" s="4"/>
    </row>
    <row r="6" spans="2:9" x14ac:dyDescent="0.3">
      <c r="B6" s="41" t="inlineStr">
        <is>
          <t>1) CATEGORIE E BUDGET MENSILE</t>
        </is>
      </c>
      <c r="C6" s="39"/>
      <c r="D6" s="39"/>
      <c r="E6" s="39"/>
      <c r="F6" s="39"/>
      <c r="G6" s="4"/>
      <c r="H6" s="4"/>
      <c r="I6" s="4"/>
    </row>
    <row r="7" spans="2:9" ht="9" customHeight="1" x14ac:dyDescent="0.3">
      <c r="B7" s="3"/>
      <c r="C7" s="4"/>
      <c r="D7" s="4"/>
      <c r="E7" s="4"/>
      <c r="F7" s="4"/>
      <c r="G7" s="4"/>
      <c r="H7" s="4"/>
      <c r="I7" s="4"/>
    </row>
    <row r="8" spans="2:9" ht="30" customHeight="1" thickBot="1" x14ac:dyDescent="0.35">
      <c r="B8" s="53" t="inlineStr">
        <is>
          <t>Categoria</t>
        </is>
      </c>
      <c r="C8" s="53" t="inlineStr">
        <is>
          <t>Tipo</t>
        </is>
      </c>
      <c r="D8" s="53" t="inlineStr">
        <is>
          <t>Budget variabile mensile (€)</t>
        </is>
      </c>
      <c r="E8" s="53" t="inlineStr">
        <is>
          <t>Spese fisse (auto) (€)</t>
        </is>
      </c>
      <c r="F8" s="53" t="inlineStr">
        <is>
          <t>BUDGET TOTALE MENSILE (€)</t>
        </is>
      </c>
      <c r="G8" s="54"/>
      <c r="H8" s="4"/>
      <c r="I8" s="10" t="inlineStr">
        <is>
          <t>Elenco mesi</t>
        </is>
      </c>
    </row>
    <row r="9" spans="2:9" x14ac:dyDescent="0.3">
      <c r="B9" s="48"/>
      <c r="C9" s="49"/>
      <c r="D9" s="50"/>
      <c r="E9" s="51">
        <f t="shared" ref="E9:E38" si="0">IF($B9="","",SUMIF($C$43:$C$62,$B9,$D$43:$D$62))</f>
      </c>
      <c r="F9" s="52">
        <f t="shared" ref="F9:F38" si="1">IF($B9="","",SUM($D9:$E9))</f>
      </c>
      <c r="G9" s="4"/>
      <c r="H9" s="4"/>
      <c r="I9" s="14" t="inlineStr">
        <is>
          <t>Gennaio</t>
        </is>
      </c>
    </row>
    <row r="10" spans="2:9" x14ac:dyDescent="0.3">
      <c r="B10" s="5"/>
      <c r="C10" s="11"/>
      <c r="D10" s="6"/>
      <c r="E10" s="12">
        <f t="shared" si="0"/>
      </c>
      <c r="F10" s="13">
        <f t="shared" si="1"/>
      </c>
      <c r="G10" s="4"/>
      <c r="H10" s="4"/>
      <c r="I10" s="14" t="inlineStr">
        <is>
          <t>Febbraio</t>
        </is>
      </c>
    </row>
    <row r="11" spans="2:9" x14ac:dyDescent="0.3">
      <c r="B11" s="5"/>
      <c r="C11" s="11"/>
      <c r="D11" s="6"/>
      <c r="E11" s="12">
        <f t="shared" si="0"/>
      </c>
      <c r="F11" s="13">
        <f t="shared" si="1"/>
      </c>
      <c r="G11" s="4"/>
      <c r="H11" s="4"/>
      <c r="I11" s="14" t="inlineStr">
        <is>
          <t>Marzo</t>
        </is>
      </c>
    </row>
    <row r="12" spans="2:9" x14ac:dyDescent="0.3">
      <c r="B12" s="5"/>
      <c r="C12" s="11"/>
      <c r="D12" s="6"/>
      <c r="E12" s="12">
        <f t="shared" si="0"/>
      </c>
      <c r="F12" s="13">
        <f t="shared" si="1"/>
      </c>
      <c r="G12" s="4"/>
      <c r="H12" s="4"/>
      <c r="I12" s="14" t="inlineStr">
        <is>
          <t>Aprile</t>
        </is>
      </c>
    </row>
    <row r="13" spans="2:9" x14ac:dyDescent="0.3">
      <c r="B13" s="5"/>
      <c r="C13" s="11"/>
      <c r="D13" s="6"/>
      <c r="E13" s="12">
        <f t="shared" si="0"/>
      </c>
      <c r="F13" s="13">
        <f t="shared" si="1"/>
      </c>
      <c r="G13" s="4"/>
      <c r="H13" s="4"/>
      <c r="I13" s="14" t="inlineStr">
        <is>
          <t>Maggio</t>
        </is>
      </c>
    </row>
    <row r="14" spans="2:9" x14ac:dyDescent="0.3">
      <c r="B14" s="5"/>
      <c r="C14" s="11"/>
      <c r="D14" s="6"/>
      <c r="E14" s="12">
        <f t="shared" si="0"/>
      </c>
      <c r="F14" s="13">
        <f t="shared" si="1"/>
      </c>
      <c r="G14" s="4"/>
      <c r="H14" s="4"/>
      <c r="I14" s="14" t="inlineStr">
        <is>
          <t>Giugno</t>
        </is>
      </c>
    </row>
    <row r="15" spans="2:9" x14ac:dyDescent="0.3">
      <c r="B15" s="5"/>
      <c r="C15" s="11"/>
      <c r="D15" s="6"/>
      <c r="E15" s="12">
        <f t="shared" si="0"/>
      </c>
      <c r="F15" s="13">
        <f t="shared" si="1"/>
      </c>
      <c r="G15" s="4"/>
      <c r="H15" s="4"/>
      <c r="I15" s="14" t="inlineStr">
        <is>
          <t>Luglio</t>
        </is>
      </c>
    </row>
    <row r="16" spans="2:9" x14ac:dyDescent="0.3">
      <c r="B16" s="5"/>
      <c r="C16" s="11"/>
      <c r="D16" s="6"/>
      <c r="E16" s="12">
        <f t="shared" si="0"/>
      </c>
      <c r="F16" s="13">
        <f t="shared" si="1"/>
      </c>
      <c r="G16" s="4"/>
      <c r="H16" s="4"/>
      <c r="I16" s="14" t="inlineStr">
        <is>
          <t>Agosto</t>
        </is>
      </c>
    </row>
    <row r="17" spans="2:9" x14ac:dyDescent="0.3">
      <c r="B17" s="5"/>
      <c r="C17" s="11"/>
      <c r="D17" s="6"/>
      <c r="E17" s="12">
        <f t="shared" si="0"/>
      </c>
      <c r="F17" s="13">
        <f t="shared" si="1"/>
      </c>
      <c r="G17" s="4"/>
      <c r="H17" s="4"/>
      <c r="I17" s="14" t="inlineStr">
        <is>
          <t>Settembre</t>
        </is>
      </c>
    </row>
    <row r="18" spans="2:9" x14ac:dyDescent="0.3">
      <c r="B18" s="5"/>
      <c r="C18" s="11"/>
      <c r="D18" s="6"/>
      <c r="E18" s="12">
        <f t="shared" si="0"/>
      </c>
      <c r="F18" s="13">
        <f t="shared" si="1"/>
      </c>
      <c r="G18" s="4"/>
      <c r="H18" s="4"/>
      <c r="I18" s="14" t="inlineStr">
        <is>
          <t>Ottobre</t>
        </is>
      </c>
    </row>
    <row r="19" spans="2:9" x14ac:dyDescent="0.3">
      <c r="B19" s="5"/>
      <c r="C19" s="11"/>
      <c r="D19" s="6"/>
      <c r="E19" s="12">
        <f t="shared" si="0"/>
      </c>
      <c r="F19" s="13">
        <f t="shared" si="1"/>
      </c>
      <c r="G19" s="4"/>
      <c r="H19" s="4"/>
      <c r="I19" s="14" t="inlineStr">
        <is>
          <t>Novembre</t>
        </is>
      </c>
    </row>
    <row r="20" spans="2:9" x14ac:dyDescent="0.3">
      <c r="B20" s="5"/>
      <c r="C20" s="11"/>
      <c r="D20" s="6"/>
      <c r="E20" s="12">
        <f t="shared" si="0"/>
      </c>
      <c r="F20" s="13">
        <f t="shared" si="1"/>
      </c>
      <c r="G20" s="4"/>
      <c r="H20" s="4"/>
      <c r="I20" s="14" t="inlineStr">
        <is>
          <t>Dicembre</t>
        </is>
      </c>
    </row>
    <row r="21" spans="2:9" x14ac:dyDescent="0.3">
      <c r="B21" s="5"/>
      <c r="C21" s="11"/>
      <c r="D21" s="6"/>
      <c r="E21" s="12">
        <f t="shared" si="0"/>
      </c>
      <c r="F21" s="13">
        <f t="shared" si="1"/>
      </c>
      <c r="G21" s="4"/>
      <c r="H21" s="4"/>
      <c r="I21" s="4"/>
    </row>
    <row r="22" spans="2:9" x14ac:dyDescent="0.3">
      <c r="B22" s="5"/>
      <c r="C22" s="11"/>
      <c r="D22" s="6"/>
      <c r="E22" s="12">
        <f t="shared" si="0"/>
      </c>
      <c r="F22" s="13">
        <f t="shared" si="1"/>
      </c>
      <c r="G22" s="4"/>
      <c r="H22" s="4"/>
      <c r="I22" s="3" t="inlineStr">
        <is>
          <t>Non modificare</t>
        </is>
      </c>
    </row>
    <row r="23" spans="2:9" x14ac:dyDescent="0.3">
      <c r="B23" s="5"/>
      <c r="C23" s="11"/>
      <c r="D23" s="6"/>
      <c r="E23" s="12">
        <f t="shared" si="0"/>
      </c>
      <c r="F23" s="13">
        <f t="shared" si="1"/>
      </c>
      <c r="G23" s="4"/>
      <c r="H23" s="4"/>
      <c r="I23" s="4"/>
    </row>
    <row r="24" spans="2:9" x14ac:dyDescent="0.3">
      <c r="B24" s="5"/>
      <c r="C24" s="11"/>
      <c r="D24" s="6"/>
      <c r="E24" s="12">
        <f t="shared" si="0"/>
      </c>
      <c r="F24" s="13">
        <f t="shared" si="1"/>
      </c>
      <c r="G24" s="4"/>
      <c r="H24" s="4"/>
      <c r="I24" s="4"/>
    </row>
    <row r="25" spans="2:9" x14ac:dyDescent="0.3">
      <c r="B25" s="5"/>
      <c r="C25" s="11"/>
      <c r="D25" s="6"/>
      <c r="E25" s="12">
        <f t="shared" si="0"/>
      </c>
      <c r="F25" s="13">
        <f t="shared" si="1"/>
      </c>
      <c r="G25" s="4"/>
      <c r="H25" s="4"/>
      <c r="I25" s="4"/>
    </row>
    <row r="26" spans="2:9" x14ac:dyDescent="0.3">
      <c r="B26" s="5"/>
      <c r="C26" s="11"/>
      <c r="D26" s="6"/>
      <c r="E26" s="12">
        <f t="shared" si="0"/>
      </c>
      <c r="F26" s="13">
        <f t="shared" si="1"/>
      </c>
      <c r="G26" s="4"/>
      <c r="H26" s="4"/>
      <c r="I26" s="4"/>
    </row>
    <row r="27" spans="2:9" x14ac:dyDescent="0.3">
      <c r="B27" s="5"/>
      <c r="C27" s="11"/>
      <c r="D27" s="6"/>
      <c r="E27" s="12">
        <f t="shared" si="0"/>
      </c>
      <c r="F27" s="13">
        <f t="shared" si="1"/>
      </c>
      <c r="G27" s="4"/>
      <c r="H27" s="4"/>
      <c r="I27" s="4"/>
    </row>
    <row r="28" spans="2:9" x14ac:dyDescent="0.3">
      <c r="B28" s="5"/>
      <c r="C28" s="11"/>
      <c r="D28" s="6"/>
      <c r="E28" s="12">
        <f t="shared" si="0"/>
      </c>
      <c r="F28" s="13">
        <f t="shared" si="1"/>
      </c>
      <c r="G28" s="4"/>
      <c r="H28" s="4"/>
      <c r="I28" s="4"/>
    </row>
    <row r="29" spans="2:9" x14ac:dyDescent="0.3">
      <c r="B29" s="5"/>
      <c r="C29" s="11"/>
      <c r="D29" s="6"/>
      <c r="E29" s="12">
        <f t="shared" si="0"/>
      </c>
      <c r="F29" s="13">
        <f t="shared" si="1"/>
      </c>
      <c r="G29" s="4"/>
      <c r="H29" s="4"/>
      <c r="I29" s="4"/>
    </row>
    <row r="30" spans="2:9" x14ac:dyDescent="0.3">
      <c r="B30" s="5"/>
      <c r="C30" s="11"/>
      <c r="D30" s="6"/>
      <c r="E30" s="12">
        <f t="shared" si="0"/>
      </c>
      <c r="F30" s="13">
        <f t="shared" si="1"/>
      </c>
      <c r="G30" s="4"/>
      <c r="H30" s="4"/>
      <c r="I30" s="4"/>
    </row>
    <row r="31" spans="2:9" x14ac:dyDescent="0.3">
      <c r="B31" s="5"/>
      <c r="C31" s="11"/>
      <c r="D31" s="6"/>
      <c r="E31" s="12">
        <f t="shared" si="0"/>
      </c>
      <c r="F31" s="13">
        <f t="shared" si="1"/>
      </c>
      <c r="G31" s="4"/>
      <c r="H31" s="4"/>
      <c r="I31" s="4"/>
    </row>
    <row r="32" spans="2:9" x14ac:dyDescent="0.3">
      <c r="B32" s="5"/>
      <c r="C32" s="11"/>
      <c r="D32" s="6"/>
      <c r="E32" s="12">
        <f t="shared" si="0"/>
      </c>
      <c r="F32" s="13">
        <f t="shared" si="1"/>
      </c>
      <c r="G32" s="4"/>
      <c r="H32" s="4"/>
      <c r="I32" s="4"/>
    </row>
    <row r="33" spans="2:9" x14ac:dyDescent="0.3">
      <c r="B33" s="5"/>
      <c r="C33" s="11"/>
      <c r="D33" s="6"/>
      <c r="E33" s="12">
        <f t="shared" si="0"/>
      </c>
      <c r="F33" s="13">
        <f t="shared" si="1"/>
      </c>
      <c r="G33" s="4"/>
      <c r="H33" s="4"/>
      <c r="I33" s="4"/>
    </row>
    <row r="34" spans="2:9" x14ac:dyDescent="0.3">
      <c r="B34" s="5"/>
      <c r="C34" s="11"/>
      <c r="D34" s="6"/>
      <c r="E34" s="12">
        <f t="shared" si="0"/>
      </c>
      <c r="F34" s="13">
        <f t="shared" si="1"/>
      </c>
      <c r="G34" s="4"/>
      <c r="H34" s="4"/>
      <c r="I34" s="4"/>
    </row>
    <row r="35" spans="2:9" x14ac:dyDescent="0.3">
      <c r="B35" s="5"/>
      <c r="C35" s="11"/>
      <c r="D35" s="6"/>
      <c r="E35" s="12">
        <f t="shared" si="0"/>
      </c>
      <c r="F35" s="13">
        <f t="shared" si="1"/>
      </c>
      <c r="G35" s="4"/>
      <c r="H35" s="4"/>
      <c r="I35" s="4"/>
    </row>
    <row r="36" spans="2:9" x14ac:dyDescent="0.3">
      <c r="B36" s="5"/>
      <c r="C36" s="11"/>
      <c r="D36" s="6"/>
      <c r="E36" s="12">
        <f t="shared" si="0"/>
      </c>
      <c r="F36" s="13">
        <f t="shared" si="1"/>
      </c>
      <c r="G36" s="4"/>
      <c r="H36" s="4"/>
      <c r="I36" s="4"/>
    </row>
    <row r="37" spans="2:9" x14ac:dyDescent="0.3">
      <c r="B37" s="5"/>
      <c r="C37" s="11"/>
      <c r="D37" s="6"/>
      <c r="E37" s="12">
        <f t="shared" si="0"/>
      </c>
      <c r="F37" s="13">
        <f t="shared" si="1"/>
      </c>
      <c r="G37" s="4"/>
      <c r="H37" s="4"/>
      <c r="I37" s="4"/>
    </row>
    <row r="38" spans="2:9" x14ac:dyDescent="0.3">
      <c r="B38" s="5"/>
      <c r="C38" s="11"/>
      <c r="D38" s="6"/>
      <c r="E38" s="12">
        <f t="shared" si="0"/>
      </c>
      <c r="F38" s="13">
        <f t="shared" si="1"/>
      </c>
      <c r="G38" s="4"/>
      <c r="H38" s="4"/>
      <c r="I38" s="4"/>
    </row>
    <row r="39" spans="2:9" x14ac:dyDescent="0.3">
      <c r="B39" s="4"/>
      <c r="C39" s="4"/>
      <c r="D39" s="4"/>
      <c r="E39" s="4"/>
      <c r="F39" s="4"/>
      <c r="G39" s="4"/>
      <c r="H39" s="4"/>
      <c r="I39" s="4"/>
    </row>
    <row r="40" spans="2:9" x14ac:dyDescent="0.3">
      <c r="B40" s="41" t="inlineStr">
        <is>
          <t>2) SPESE FISSE MENSILI</t>
        </is>
      </c>
      <c r="C40" s="41"/>
      <c r="D40" s="41"/>
      <c r="E40" s="41"/>
      <c r="F40" s="41"/>
      <c r="G40" s="4"/>
      <c r="H40" s="4"/>
      <c r="I40" s="4"/>
    </row>
    <row r="41" spans="2:9" x14ac:dyDescent="0.3">
      <c r="B41" s="3"/>
      <c r="C41" s="4"/>
      <c r="D41" s="4"/>
      <c r="E41" s="4"/>
      <c r="F41" s="4"/>
      <c r="G41" s="4"/>
      <c r="H41" s="4"/>
      <c r="I41" s="4"/>
    </row>
    <row r="42" spans="2:9" ht="15" thickBot="1" x14ac:dyDescent="0.35">
      <c r="B42" s="53" t="inlineStr">
        <is>
          <t>Descrizione</t>
        </is>
      </c>
      <c r="C42" s="53" t="inlineStr">
        <is>
          <t>Categoria</t>
        </is>
      </c>
      <c r="D42" s="53" t="inlineStr">
        <is>
          <t>Importo mensile (€)</t>
        </is>
      </c>
      <c r="E42" s="55" t="inlineStr">
        <is>
          <t>Note</t>
        </is>
      </c>
      <c r="F42" s="4"/>
      <c r="G42" s="4"/>
      <c r="H42" s="4"/>
      <c r="I42" s="4"/>
    </row>
    <row r="43" spans="2:9" x14ac:dyDescent="0.3">
      <c r="B43" s="48"/>
      <c r="C43" s="48"/>
      <c r="D43" s="50"/>
      <c r="E43" s="48"/>
      <c r="F43" s="4"/>
      <c r="G43" s="4"/>
      <c r="H43" s="4"/>
      <c r="I43" s="4"/>
    </row>
    <row r="44" spans="2:9" x14ac:dyDescent="0.3">
      <c r="B44" s="5"/>
      <c r="C44" s="5"/>
      <c r="D44" s="6"/>
      <c r="E44" s="5"/>
      <c r="F44" s="4"/>
      <c r="G44" s="4"/>
      <c r="H44" s="4"/>
      <c r="I44" s="4"/>
    </row>
    <row r="45" spans="2:9" x14ac:dyDescent="0.3">
      <c r="B45" s="5"/>
      <c r="C45" s="5"/>
      <c r="D45" s="6"/>
      <c r="E45" s="5"/>
      <c r="F45" s="4"/>
      <c r="G45" s="4"/>
      <c r="H45" s="4"/>
      <c r="I45" s="4"/>
    </row>
    <row r="46" spans="2:9" x14ac:dyDescent="0.3">
      <c r="B46" s="5"/>
      <c r="C46" s="5"/>
      <c r="D46" s="6"/>
      <c r="E46" s="5"/>
      <c r="F46" s="4"/>
      <c r="G46" s="4"/>
      <c r="H46" s="4"/>
      <c r="I46" s="4"/>
    </row>
    <row r="47" spans="2:9" x14ac:dyDescent="0.3">
      <c r="B47" s="5"/>
      <c r="C47" s="5"/>
      <c r="D47" s="6"/>
      <c r="E47" s="5"/>
      <c r="F47" s="4"/>
      <c r="G47" s="4"/>
      <c r="H47" s="4"/>
      <c r="I47" s="4"/>
    </row>
    <row r="48" spans="2:9" x14ac:dyDescent="0.3">
      <c r="B48" s="5"/>
      <c r="C48" s="5"/>
      <c r="D48" s="6"/>
      <c r="E48" s="5"/>
      <c r="F48" s="4"/>
      <c r="G48" s="4"/>
      <c r="H48" s="4"/>
      <c r="I48" s="4"/>
    </row>
    <row r="49" spans="2:9" x14ac:dyDescent="0.3">
      <c r="B49" s="5"/>
      <c r="C49" s="5"/>
      <c r="D49" s="6"/>
      <c r="E49" s="5"/>
      <c r="F49" s="4"/>
      <c r="G49" s="4"/>
      <c r="H49" s="4"/>
      <c r="I49" s="4"/>
    </row>
    <row r="50" spans="2:9" x14ac:dyDescent="0.3">
      <c r="B50" s="5"/>
      <c r="C50" s="5"/>
      <c r="D50" s="6"/>
      <c r="E50" s="5"/>
      <c r="F50" s="4"/>
      <c r="G50" s="4"/>
      <c r="H50" s="4"/>
      <c r="I50" s="4"/>
    </row>
    <row r="51" spans="2:9" x14ac:dyDescent="0.3">
      <c r="B51" s="5"/>
      <c r="C51" s="5"/>
      <c r="D51" s="6"/>
      <c r="E51" s="5"/>
      <c r="F51" s="4"/>
      <c r="G51" s="4"/>
      <c r="H51" s="4"/>
      <c r="I51" s="4"/>
    </row>
    <row r="52" spans="2:9" x14ac:dyDescent="0.3">
      <c r="B52" s="5"/>
      <c r="C52" s="5"/>
      <c r="D52" s="6"/>
      <c r="E52" s="5"/>
      <c r="F52" s="4"/>
      <c r="G52" s="4"/>
      <c r="H52" s="4"/>
      <c r="I52" s="4"/>
    </row>
    <row r="53" spans="2:9" x14ac:dyDescent="0.3">
      <c r="B53" s="5"/>
      <c r="C53" s="5"/>
      <c r="D53" s="6"/>
      <c r="E53" s="5"/>
      <c r="F53" s="4"/>
      <c r="G53" s="4"/>
      <c r="H53" s="4"/>
      <c r="I53" s="4"/>
    </row>
    <row r="54" spans="2:9" x14ac:dyDescent="0.3">
      <c r="B54" s="5"/>
      <c r="C54" s="5"/>
      <c r="D54" s="6"/>
      <c r="E54" s="5"/>
      <c r="F54" s="4"/>
      <c r="G54" s="4"/>
      <c r="H54" s="4"/>
      <c r="I54" s="4"/>
    </row>
    <row r="55" spans="2:9" x14ac:dyDescent="0.3">
      <c r="B55" s="5"/>
      <c r="C55" s="5"/>
      <c r="D55" s="6"/>
      <c r="E55" s="5"/>
      <c r="F55" s="4"/>
      <c r="G55" s="4"/>
      <c r="H55" s="4"/>
      <c r="I55" s="4"/>
    </row>
    <row r="56" spans="2:9" x14ac:dyDescent="0.3">
      <c r="B56" s="5"/>
      <c r="C56" s="5"/>
      <c r="D56" s="6"/>
      <c r="E56" s="5"/>
      <c r="F56" s="4"/>
      <c r="G56" s="4"/>
      <c r="H56" s="4"/>
      <c r="I56" s="4"/>
    </row>
    <row r="57" spans="2:9" x14ac:dyDescent="0.3">
      <c r="B57" s="5"/>
      <c r="C57" s="5"/>
      <c r="D57" s="6"/>
      <c r="E57" s="5"/>
      <c r="F57" s="4"/>
      <c r="G57" s="4"/>
      <c r="H57" s="4"/>
      <c r="I57" s="4"/>
    </row>
    <row r="58" spans="2:9" x14ac:dyDescent="0.3">
      <c r="B58" s="5"/>
      <c r="C58" s="5"/>
      <c r="D58" s="6"/>
      <c r="E58" s="5"/>
      <c r="F58" s="4"/>
      <c r="G58" s="4"/>
      <c r="H58" s="4"/>
      <c r="I58" s="4"/>
    </row>
    <row r="59" spans="2:9" x14ac:dyDescent="0.3">
      <c r="B59" s="5"/>
      <c r="C59" s="5"/>
      <c r="D59" s="6"/>
      <c r="E59" s="5"/>
      <c r="F59" s="4"/>
      <c r="G59" s="4"/>
      <c r="H59" s="4"/>
      <c r="I59" s="4"/>
    </row>
    <row r="60" spans="2:9" x14ac:dyDescent="0.3">
      <c r="B60" s="5"/>
      <c r="C60" s="5"/>
      <c r="D60" s="6"/>
      <c r="E60" s="5"/>
      <c r="F60" s="4"/>
      <c r="G60" s="4"/>
      <c r="H60" s="4"/>
      <c r="I60" s="4"/>
    </row>
    <row r="61" spans="2:9" x14ac:dyDescent="0.3">
      <c r="B61" s="5"/>
      <c r="C61" s="5"/>
      <c r="D61" s="6"/>
      <c r="E61" s="5"/>
      <c r="F61" s="4"/>
      <c r="G61" s="4"/>
      <c r="H61" s="4"/>
      <c r="I61" s="4"/>
    </row>
    <row r="62" spans="2:9" x14ac:dyDescent="0.3">
      <c r="B62" s="5"/>
      <c r="C62" s="5"/>
      <c r="D62" s="6"/>
      <c r="E62" s="5"/>
      <c r="F62" s="4"/>
      <c r="G62" s="4"/>
      <c r="H62" s="4"/>
      <c r="I62" s="4"/>
    </row>
    <row r="64" spans="2:9" x14ac:dyDescent="0.3">
      <c r="B64" s="4"/>
      <c r="C64" s="42" t="inlineStr">
        <is>
          <t>TOTALE SPESE FISSE / MESE</t>
        </is>
      </c>
      <c r="D64" s="13">
        <f>SUM(D43:D62)</f>
      </c>
      <c r="E64" s="4"/>
      <c r="F64" s="4"/>
      <c r="G64" s="4"/>
      <c r="H64" s="4"/>
      <c r="I64" s="4"/>
    </row>
  </sheetData>
  <mergeCells count="1">
    <mergeCell ref="B2:F2"/>
  </mergeCells>
  <dataValidations count="2">
    <dataValidation type="list" allowBlank="1" sqref="C43:C62" xr:uid="{00000000-0002-0000-0100-000000000000}">
      <formula1>Categorie</formula1>
      <formula2>0</formula2>
    </dataValidation>
    <dataValidation type="list" allowBlank="1" sqref="C9:C38" xr:uid="{00000000-0002-0000-0100-000001000000}">
      <formula1>"Entrata,Spesa"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31" sqref="L31"/>
    </sheetView>
  </sheetViews>
  <sheetFormatPr defaultColWidth="8.5546875" defaultRowHeight="14.4" x14ac:dyDescent="0.3"/>
  <cols>
    <col min="1" max="1" width="24" customWidth="1"/>
    <col min="2" max="2" width="11" customWidth="1"/>
    <col min="3" max="14" width="12" customWidth="1"/>
    <col min="15" max="15" width="14.88671875" customWidth="1"/>
  </cols>
  <sheetData>
    <row r="1" spans="1:15" ht="21.75" customHeight="1" x14ac:dyDescent="0.3">
      <c r="A1" s="59" t="inlineStr">
        <is>
          <t>BUDGET ANNUALE</t>
        </is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x14ac:dyDescent="0.3">
      <c r="A2" s="8" t="inlineStr">
        <is>
          <t>Anno</t>
        </is>
      </c>
      <c r="B2" s="15">
        <f>Impostazioni!$C$4</f>
      </c>
      <c r="C2" s="3" t="inlineStr">
        <is>
          <t>Ogni cella riprende il budget mensile delle Impostazioni. Per cambiare un solo mese (es. più regali a dicembre) scrivi il numero sopra la formula.</t>
        </is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9.5" customHeight="1" x14ac:dyDescent="0.3">
      <c r="A4" s="40" t="inlineStr">
        <is>
          <t>Categoria</t>
        </is>
      </c>
      <c r="B4" s="40" t="inlineStr">
        <is>
          <t>Tipo</t>
        </is>
      </c>
      <c r="C4" s="40" t="inlineStr">
        <is>
          <t>Gen</t>
        </is>
      </c>
      <c r="D4" s="40" t="inlineStr">
        <is>
          <t>Feb</t>
        </is>
      </c>
      <c r="E4" s="40" t="inlineStr">
        <is>
          <t>Mar</t>
        </is>
      </c>
      <c r="F4" s="40" t="inlineStr">
        <is>
          <t>Apr</t>
        </is>
      </c>
      <c r="G4" s="40" t="inlineStr">
        <is>
          <t>Mag</t>
        </is>
      </c>
      <c r="H4" s="40" t="inlineStr">
        <is>
          <t>Giu</t>
        </is>
      </c>
      <c r="I4" s="40" t="inlineStr">
        <is>
          <t>Lug</t>
        </is>
      </c>
      <c r="J4" s="40" t="inlineStr">
        <is>
          <t>Ago</t>
        </is>
      </c>
      <c r="K4" s="40" t="inlineStr">
        <is>
          <t>Set</t>
        </is>
      </c>
      <c r="L4" s="40" t="inlineStr">
        <is>
          <t>Ott</t>
        </is>
      </c>
      <c r="M4" s="40" t="inlineStr">
        <is>
          <t>Nov</t>
        </is>
      </c>
      <c r="N4" s="40" t="inlineStr">
        <is>
          <t>Dic</t>
        </is>
      </c>
      <c r="O4" s="40" t="inlineStr">
        <is>
          <t>TOTALE ANNO</t>
        </is>
      </c>
    </row>
    <row r="5" spans="1:15" x14ac:dyDescent="0.3">
      <c r="A5" s="16">
        <f>IF(Impostazioni!$B9="","",Impostazioni!$B9)</f>
      </c>
      <c r="B5" s="17">
        <f>IF(Impostazioni!$B9="","",Impostazioni!$C9)</f>
      </c>
      <c r="C5" s="12">
        <f>IF($A5="","",Impostazioni!$F9)</f>
      </c>
      <c r="D5" s="12">
        <f>IF($A5="","",Impostazioni!$F9)</f>
      </c>
      <c r="E5" s="12">
        <f>IF($A5="","",Impostazioni!$F9)</f>
      </c>
      <c r="F5" s="12">
        <f>IF($A5="","",Impostazioni!$F9)</f>
      </c>
      <c r="G5" s="12">
        <f>IF($A5="","",Impostazioni!$F9)</f>
      </c>
      <c r="H5" s="12">
        <f>IF($A5="","",Impostazioni!$F9)</f>
      </c>
      <c r="I5" s="12">
        <f>IF($A5="","",Impostazioni!$F9)</f>
      </c>
      <c r="J5" s="12">
        <f>IF($A5="","",Impostazioni!$F9)</f>
      </c>
      <c r="K5" s="12">
        <f>IF($A5="","",Impostazioni!$F9)</f>
      </c>
      <c r="L5" s="12">
        <f>IF($A5="","",Impostazioni!$F9)</f>
      </c>
      <c r="M5" s="12">
        <f>IF($A5="","",Impostazioni!$F9)</f>
      </c>
      <c r="N5" s="12">
        <f>IF($A5="","",Impostazioni!$F9)</f>
      </c>
      <c r="O5" s="13">
        <f t="shared" ref="O5:O34" si="0">IF($A5="","",SUM(C5:N5))</f>
      </c>
    </row>
    <row r="6" spans="1:15" x14ac:dyDescent="0.3">
      <c r="A6" s="16">
        <f>IF(Impostazioni!$B10="","",Impostazioni!$B10)</f>
      </c>
      <c r="B6" s="17">
        <f>IF(Impostazioni!$B10="","",Impostazioni!$C10)</f>
      </c>
      <c r="C6" s="12">
        <f>IF($A6="","",Impostazioni!$F10)</f>
      </c>
      <c r="D6" s="12">
        <f>IF($A6="","",Impostazioni!$F10)</f>
      </c>
      <c r="E6" s="12">
        <f>IF($A6="","",Impostazioni!$F10)</f>
      </c>
      <c r="F6" s="12">
        <f>IF($A6="","",Impostazioni!$F10)</f>
      </c>
      <c r="G6" s="12">
        <f>IF($A6="","",Impostazioni!$F10)</f>
      </c>
      <c r="H6" s="12">
        <f>IF($A6="","",Impostazioni!$F10)</f>
      </c>
      <c r="I6" s="12">
        <f>IF($A6="","",Impostazioni!$F10)</f>
      </c>
      <c r="J6" s="12">
        <f>IF($A6="","",Impostazioni!$F10)</f>
      </c>
      <c r="K6" s="12">
        <f>IF($A6="","",Impostazioni!$F10)</f>
      </c>
      <c r="L6" s="12">
        <f>IF($A6="","",Impostazioni!$F10)</f>
      </c>
      <c r="M6" s="12">
        <f>IF($A6="","",Impostazioni!$F10)</f>
      </c>
      <c r="N6" s="12">
        <f>IF($A6="","",Impostazioni!$F10)</f>
      </c>
      <c r="O6" s="13">
        <f t="shared" si="0"/>
      </c>
    </row>
    <row r="7" spans="1:15" x14ac:dyDescent="0.3">
      <c r="A7" s="16">
        <f>IF(Impostazioni!$B11="","",Impostazioni!$B11)</f>
      </c>
      <c r="B7" s="17">
        <f>IF(Impostazioni!$B11="","",Impostazioni!$C11)</f>
      </c>
      <c r="C7" s="12">
        <f>IF($A7="","",Impostazioni!$F11)</f>
      </c>
      <c r="D7" s="12">
        <f>IF($A7="","",Impostazioni!$F11)</f>
      </c>
      <c r="E7" s="12">
        <f>IF($A7="","",Impostazioni!$F11)</f>
      </c>
      <c r="F7" s="12">
        <f>IF($A7="","",Impostazioni!$F11)</f>
      </c>
      <c r="G7" s="12">
        <f>IF($A7="","",Impostazioni!$F11)</f>
      </c>
      <c r="H7" s="12">
        <f>IF($A7="","",Impostazioni!$F11)</f>
      </c>
      <c r="I7" s="12">
        <f>IF($A7="","",Impostazioni!$F11)</f>
      </c>
      <c r="J7" s="12">
        <f>IF($A7="","",Impostazioni!$F11)</f>
      </c>
      <c r="K7" s="12">
        <f>IF($A7="","",Impostazioni!$F11)</f>
      </c>
      <c r="L7" s="12">
        <f>IF($A7="","",Impostazioni!$F11)</f>
      </c>
      <c r="M7" s="12">
        <f>IF($A7="","",Impostazioni!$F11)</f>
      </c>
      <c r="N7" s="12">
        <f>IF($A7="","",Impostazioni!$F11)</f>
      </c>
      <c r="O7" s="13">
        <f t="shared" si="0"/>
      </c>
    </row>
    <row r="8" spans="1:15" x14ac:dyDescent="0.3">
      <c r="A8" s="16">
        <f>IF(Impostazioni!$B12="","",Impostazioni!$B12)</f>
      </c>
      <c r="B8" s="17">
        <f>IF(Impostazioni!$B12="","",Impostazioni!$C12)</f>
      </c>
      <c r="C8" s="12">
        <f>IF($A8="","",Impostazioni!$F12)</f>
      </c>
      <c r="D8" s="12">
        <f>IF($A8="","",Impostazioni!$F12)</f>
      </c>
      <c r="E8" s="12">
        <f>IF($A8="","",Impostazioni!$F12)</f>
      </c>
      <c r="F8" s="12">
        <f>IF($A8="","",Impostazioni!$F12)</f>
      </c>
      <c r="G8" s="12">
        <f>IF($A8="","",Impostazioni!$F12)</f>
      </c>
      <c r="H8" s="12">
        <f>IF($A8="","",Impostazioni!$F12)</f>
      </c>
      <c r="I8" s="12">
        <f>IF($A8="","",Impostazioni!$F12)</f>
      </c>
      <c r="J8" s="12">
        <f>IF($A8="","",Impostazioni!$F12)</f>
      </c>
      <c r="K8" s="12">
        <f>IF($A8="","",Impostazioni!$F12)</f>
      </c>
      <c r="L8" s="12">
        <f>IF($A8="","",Impostazioni!$F12)</f>
      </c>
      <c r="M8" s="12">
        <f>IF($A8="","",Impostazioni!$F12)</f>
      </c>
      <c r="N8" s="12">
        <f>IF($A8="","",Impostazioni!$F12)</f>
      </c>
      <c r="O8" s="13">
        <f t="shared" si="0"/>
      </c>
    </row>
    <row r="9" spans="1:15" x14ac:dyDescent="0.3">
      <c r="A9" s="16">
        <f>IF(Impostazioni!$B13="","",Impostazioni!$B13)</f>
      </c>
      <c r="B9" s="17">
        <f>IF(Impostazioni!$B13="","",Impostazioni!$C13)</f>
      </c>
      <c r="C9" s="12">
        <f>IF($A9="","",Impostazioni!$F13)</f>
      </c>
      <c r="D9" s="12">
        <f>IF($A9="","",Impostazioni!$F13)</f>
      </c>
      <c r="E9" s="12">
        <f>IF($A9="","",Impostazioni!$F13)</f>
      </c>
      <c r="F9" s="12">
        <f>IF($A9="","",Impostazioni!$F13)</f>
      </c>
      <c r="G9" s="12">
        <f>IF($A9="","",Impostazioni!$F13)</f>
      </c>
      <c r="H9" s="12">
        <f>IF($A9="","",Impostazioni!$F13)</f>
      </c>
      <c r="I9" s="12">
        <f>IF($A9="","",Impostazioni!$F13)</f>
      </c>
      <c r="J9" s="12">
        <f>IF($A9="","",Impostazioni!$F13)</f>
      </c>
      <c r="K9" s="12">
        <f>IF($A9="","",Impostazioni!$F13)</f>
      </c>
      <c r="L9" s="12">
        <f>IF($A9="","",Impostazioni!$F13)</f>
      </c>
      <c r="M9" s="12">
        <f>IF($A9="","",Impostazioni!$F13)</f>
      </c>
      <c r="N9" s="12">
        <f>IF($A9="","",Impostazioni!$F13)</f>
      </c>
      <c r="O9" s="13">
        <f t="shared" si="0"/>
      </c>
    </row>
    <row r="10" spans="1:15" x14ac:dyDescent="0.3">
      <c r="A10" s="16">
        <f>IF(Impostazioni!$B14="","",Impostazioni!$B14)</f>
      </c>
      <c r="B10" s="17">
        <f>IF(Impostazioni!$B14="","",Impostazioni!$C14)</f>
      </c>
      <c r="C10" s="12">
        <f>IF($A10="","",Impostazioni!$F14)</f>
      </c>
      <c r="D10" s="12">
        <f>IF($A10="","",Impostazioni!$F14)</f>
      </c>
      <c r="E10" s="12">
        <f>IF($A10="","",Impostazioni!$F14)</f>
      </c>
      <c r="F10" s="12">
        <f>IF($A10="","",Impostazioni!$F14)</f>
      </c>
      <c r="G10" s="12">
        <f>IF($A10="","",Impostazioni!$F14)</f>
      </c>
      <c r="H10" s="12">
        <f>IF($A10="","",Impostazioni!$F14)</f>
      </c>
      <c r="I10" s="12">
        <f>IF($A10="","",Impostazioni!$F14)</f>
      </c>
      <c r="J10" s="12">
        <f>IF($A10="","",Impostazioni!$F14)</f>
      </c>
      <c r="K10" s="12">
        <f>IF($A10="","",Impostazioni!$F14)</f>
      </c>
      <c r="L10" s="12">
        <f>IF($A10="","",Impostazioni!$F14)</f>
      </c>
      <c r="M10" s="12">
        <f>IF($A10="","",Impostazioni!$F14)</f>
      </c>
      <c r="N10" s="12">
        <f>IF($A10="","",Impostazioni!$F14)</f>
      </c>
      <c r="O10" s="13">
        <f t="shared" si="0"/>
      </c>
    </row>
    <row r="11" spans="1:15" x14ac:dyDescent="0.3">
      <c r="A11" s="16">
        <f>IF(Impostazioni!$B15="","",Impostazioni!$B15)</f>
      </c>
      <c r="B11" s="17">
        <f>IF(Impostazioni!$B15="","",Impostazioni!$C15)</f>
      </c>
      <c r="C11" s="12">
        <f>IF($A11="","",Impostazioni!$F15)</f>
      </c>
      <c r="D11" s="12">
        <f>IF($A11="","",Impostazioni!$F15)</f>
      </c>
      <c r="E11" s="12">
        <f>IF($A11="","",Impostazioni!$F15)</f>
      </c>
      <c r="F11" s="12">
        <f>IF($A11="","",Impostazioni!$F15)</f>
      </c>
      <c r="G11" s="12">
        <f>IF($A11="","",Impostazioni!$F15)</f>
      </c>
      <c r="H11" s="12">
        <f>IF($A11="","",Impostazioni!$F15)</f>
      </c>
      <c r="I11" s="12">
        <f>IF($A11="","",Impostazioni!$F15)</f>
      </c>
      <c r="J11" s="12">
        <f>IF($A11="","",Impostazioni!$F15)</f>
      </c>
      <c r="K11" s="12">
        <f>IF($A11="","",Impostazioni!$F15)</f>
      </c>
      <c r="L11" s="12">
        <f>IF($A11="","",Impostazioni!$F15)</f>
      </c>
      <c r="M11" s="12">
        <f>IF($A11="","",Impostazioni!$F15)</f>
      </c>
      <c r="N11" s="12">
        <f>IF($A11="","",Impostazioni!$F15)</f>
      </c>
      <c r="O11" s="13">
        <f t="shared" si="0"/>
      </c>
    </row>
    <row r="12" spans="1:15" x14ac:dyDescent="0.3">
      <c r="A12" s="16">
        <f>IF(Impostazioni!$B16="","",Impostazioni!$B16)</f>
      </c>
      <c r="B12" s="17">
        <f>IF(Impostazioni!$B16="","",Impostazioni!$C16)</f>
      </c>
      <c r="C12" s="12">
        <f>IF($A12="","",Impostazioni!$F16)</f>
      </c>
      <c r="D12" s="12">
        <f>IF($A12="","",Impostazioni!$F16)</f>
      </c>
      <c r="E12" s="12">
        <f>IF($A12="","",Impostazioni!$F16)</f>
      </c>
      <c r="F12" s="12">
        <f>IF($A12="","",Impostazioni!$F16)</f>
      </c>
      <c r="G12" s="12">
        <f>IF($A12="","",Impostazioni!$F16)</f>
      </c>
      <c r="H12" s="12">
        <f>IF($A12="","",Impostazioni!$F16)</f>
      </c>
      <c r="I12" s="12">
        <f>IF($A12="","",Impostazioni!$F16)</f>
      </c>
      <c r="J12" s="12">
        <f>IF($A12="","",Impostazioni!$F16)</f>
      </c>
      <c r="K12" s="12">
        <f>IF($A12="","",Impostazioni!$F16)</f>
      </c>
      <c r="L12" s="12">
        <f>IF($A12="","",Impostazioni!$F16)</f>
      </c>
      <c r="M12" s="12">
        <f>IF($A12="","",Impostazioni!$F16)</f>
      </c>
      <c r="N12" s="12">
        <f>IF($A12="","",Impostazioni!$F16)</f>
      </c>
      <c r="O12" s="13">
        <f t="shared" si="0"/>
      </c>
    </row>
    <row r="13" spans="1:15" x14ac:dyDescent="0.3">
      <c r="A13" s="16">
        <f>IF(Impostazioni!$B17="","",Impostazioni!$B17)</f>
      </c>
      <c r="B13" s="17">
        <f>IF(Impostazioni!$B17="","",Impostazioni!$C17)</f>
      </c>
      <c r="C13" s="12">
        <f>IF($A13="","",Impostazioni!$F17)</f>
      </c>
      <c r="D13" s="12">
        <f>IF($A13="","",Impostazioni!$F17)</f>
      </c>
      <c r="E13" s="12">
        <f>IF($A13="","",Impostazioni!$F17)</f>
      </c>
      <c r="F13" s="12">
        <f>IF($A13="","",Impostazioni!$F17)</f>
      </c>
      <c r="G13" s="12">
        <f>IF($A13="","",Impostazioni!$F17)</f>
      </c>
      <c r="H13" s="12">
        <f>IF($A13="","",Impostazioni!$F17)</f>
      </c>
      <c r="I13" s="12">
        <f>IF($A13="","",Impostazioni!$F17)</f>
      </c>
      <c r="J13" s="12">
        <f>IF($A13="","",Impostazioni!$F17)</f>
      </c>
      <c r="K13" s="12">
        <f>IF($A13="","",Impostazioni!$F17)</f>
      </c>
      <c r="L13" s="12">
        <f>IF($A13="","",Impostazioni!$F17)</f>
      </c>
      <c r="M13" s="12">
        <f>IF($A13="","",Impostazioni!$F17)</f>
      </c>
      <c r="N13" s="12">
        <f>IF($A13="","",Impostazioni!$F17)</f>
      </c>
      <c r="O13" s="13">
        <f t="shared" si="0"/>
      </c>
    </row>
    <row r="14" spans="1:15" x14ac:dyDescent="0.3">
      <c r="A14" s="16">
        <f>IF(Impostazioni!$B18="","",Impostazioni!$B18)</f>
      </c>
      <c r="B14" s="17">
        <f>IF(Impostazioni!$B18="","",Impostazioni!$C18)</f>
      </c>
      <c r="C14" s="12">
        <f>IF($A14="","",Impostazioni!$F18)</f>
      </c>
      <c r="D14" s="12">
        <f>IF($A14="","",Impostazioni!$F18)</f>
      </c>
      <c r="E14" s="12">
        <f>IF($A14="","",Impostazioni!$F18)</f>
      </c>
      <c r="F14" s="12">
        <f>IF($A14="","",Impostazioni!$F18)</f>
      </c>
      <c r="G14" s="12">
        <f>IF($A14="","",Impostazioni!$F18)</f>
      </c>
      <c r="H14" s="12">
        <f>IF($A14="","",Impostazioni!$F18)</f>
      </c>
      <c r="I14" s="12">
        <f>IF($A14="","",Impostazioni!$F18)</f>
      </c>
      <c r="J14" s="12">
        <f>IF($A14="","",Impostazioni!$F18)</f>
      </c>
      <c r="K14" s="12">
        <f>IF($A14="","",Impostazioni!$F18)</f>
      </c>
      <c r="L14" s="12">
        <f>IF($A14="","",Impostazioni!$F18)</f>
      </c>
      <c r="M14" s="12">
        <f>IF($A14="","",Impostazioni!$F18)</f>
      </c>
      <c r="N14" s="12">
        <f>IF($A14="","",Impostazioni!$F18)</f>
      </c>
      <c r="O14" s="13">
        <f t="shared" si="0"/>
      </c>
    </row>
    <row r="15" spans="1:15" x14ac:dyDescent="0.3">
      <c r="A15" s="16">
        <f>IF(Impostazioni!$B19="","",Impostazioni!$B19)</f>
      </c>
      <c r="B15" s="17">
        <f>IF(Impostazioni!$B19="","",Impostazioni!$C19)</f>
      </c>
      <c r="C15" s="12">
        <f>IF($A15="","",Impostazioni!$F19)</f>
      </c>
      <c r="D15" s="12">
        <f>IF($A15="","",Impostazioni!$F19)</f>
      </c>
      <c r="E15" s="12">
        <f>IF($A15="","",Impostazioni!$F19)</f>
      </c>
      <c r="F15" s="12">
        <f>IF($A15="","",Impostazioni!$F19)</f>
      </c>
      <c r="G15" s="12">
        <f>IF($A15="","",Impostazioni!$F19)</f>
      </c>
      <c r="H15" s="12">
        <f>IF($A15="","",Impostazioni!$F19)</f>
      </c>
      <c r="I15" s="12">
        <f>IF($A15="","",Impostazioni!$F19)</f>
      </c>
      <c r="J15" s="12">
        <f>IF($A15="","",Impostazioni!$F19)</f>
      </c>
      <c r="K15" s="12">
        <f>IF($A15="","",Impostazioni!$F19)</f>
      </c>
      <c r="L15" s="12">
        <f>IF($A15="","",Impostazioni!$F19)</f>
      </c>
      <c r="M15" s="12">
        <f>IF($A15="","",Impostazioni!$F19)</f>
      </c>
      <c r="N15" s="12">
        <f>IF($A15="","",Impostazioni!$F19)</f>
      </c>
      <c r="O15" s="13">
        <f t="shared" si="0"/>
      </c>
    </row>
    <row r="16" spans="1:15" x14ac:dyDescent="0.3">
      <c r="A16" s="16">
        <f>IF(Impostazioni!$B20="","",Impostazioni!$B20)</f>
      </c>
      <c r="B16" s="17">
        <f>IF(Impostazioni!$B20="","",Impostazioni!$C20)</f>
      </c>
      <c r="C16" s="12">
        <f>IF($A16="","",Impostazioni!$F20)</f>
      </c>
      <c r="D16" s="12">
        <f>IF($A16="","",Impostazioni!$F20)</f>
      </c>
      <c r="E16" s="12">
        <f>IF($A16="","",Impostazioni!$F20)</f>
      </c>
      <c r="F16" s="12">
        <f>IF($A16="","",Impostazioni!$F20)</f>
      </c>
      <c r="G16" s="12">
        <f>IF($A16="","",Impostazioni!$F20)</f>
      </c>
      <c r="H16" s="12">
        <f>IF($A16="","",Impostazioni!$F20)</f>
      </c>
      <c r="I16" s="12">
        <f>IF($A16="","",Impostazioni!$F20)</f>
      </c>
      <c r="J16" s="12">
        <f>IF($A16="","",Impostazioni!$F20)</f>
      </c>
      <c r="K16" s="12">
        <f>IF($A16="","",Impostazioni!$F20)</f>
      </c>
      <c r="L16" s="12">
        <f>IF($A16="","",Impostazioni!$F20)</f>
      </c>
      <c r="M16" s="12">
        <f>IF($A16="","",Impostazioni!$F20)</f>
      </c>
      <c r="N16" s="12">
        <f>IF($A16="","",Impostazioni!$F20)</f>
      </c>
      <c r="O16" s="13">
        <f t="shared" si="0"/>
      </c>
    </row>
    <row r="17" spans="1:15" x14ac:dyDescent="0.3">
      <c r="A17" s="16">
        <f>IF(Impostazioni!$B21="","",Impostazioni!$B21)</f>
      </c>
      <c r="B17" s="17">
        <f>IF(Impostazioni!$B21="","",Impostazioni!$C21)</f>
      </c>
      <c r="C17" s="12">
        <f>IF($A17="","",Impostazioni!$F21)</f>
      </c>
      <c r="D17" s="12">
        <f>IF($A17="","",Impostazioni!$F21)</f>
      </c>
      <c r="E17" s="12">
        <f>IF($A17="","",Impostazioni!$F21)</f>
      </c>
      <c r="F17" s="12">
        <f>IF($A17="","",Impostazioni!$F21)</f>
      </c>
      <c r="G17" s="12">
        <f>IF($A17="","",Impostazioni!$F21)</f>
      </c>
      <c r="H17" s="12">
        <f>IF($A17="","",Impostazioni!$F21)</f>
      </c>
      <c r="I17" s="12">
        <f>IF($A17="","",Impostazioni!$F21)</f>
      </c>
      <c r="J17" s="12">
        <f>IF($A17="","",Impostazioni!$F21)</f>
      </c>
      <c r="K17" s="12">
        <f>IF($A17="","",Impostazioni!$F21)</f>
      </c>
      <c r="L17" s="12">
        <f>IF($A17="","",Impostazioni!$F21)</f>
      </c>
      <c r="M17" s="12">
        <f>IF($A17="","",Impostazioni!$F21)</f>
      </c>
      <c r="N17" s="12">
        <f>IF($A17="","",Impostazioni!$F21)</f>
      </c>
      <c r="O17" s="13">
        <f t="shared" si="0"/>
      </c>
    </row>
    <row r="18" spans="1:15" x14ac:dyDescent="0.3">
      <c r="A18" s="16">
        <f>IF(Impostazioni!$B22="","",Impostazioni!$B22)</f>
      </c>
      <c r="B18" s="17">
        <f>IF(Impostazioni!$B22="","",Impostazioni!$C22)</f>
      </c>
      <c r="C18" s="12">
        <f>IF($A18="","",Impostazioni!$F22)</f>
      </c>
      <c r="D18" s="12">
        <f>IF($A18="","",Impostazioni!$F22)</f>
      </c>
      <c r="E18" s="12">
        <f>IF($A18="","",Impostazioni!$F22)</f>
      </c>
      <c r="F18" s="12">
        <f>IF($A18="","",Impostazioni!$F22)</f>
      </c>
      <c r="G18" s="12">
        <f>IF($A18="","",Impostazioni!$F22)</f>
      </c>
      <c r="H18" s="12">
        <f>IF($A18="","",Impostazioni!$F22)</f>
      </c>
      <c r="I18" s="12">
        <f>IF($A18="","",Impostazioni!$F22)</f>
      </c>
      <c r="J18" s="12">
        <f>IF($A18="","",Impostazioni!$F22)</f>
      </c>
      <c r="K18" s="12">
        <f>IF($A18="","",Impostazioni!$F22)</f>
      </c>
      <c r="L18" s="12">
        <f>IF($A18="","",Impostazioni!$F22)</f>
      </c>
      <c r="M18" s="12">
        <f>IF($A18="","",Impostazioni!$F22)</f>
      </c>
      <c r="N18" s="12">
        <f>IF($A18="","",Impostazioni!$F22)</f>
      </c>
      <c r="O18" s="13">
        <f t="shared" si="0"/>
      </c>
    </row>
    <row r="19" spans="1:15" x14ac:dyDescent="0.3">
      <c r="A19" s="16">
        <f>IF(Impostazioni!$B23="","",Impostazioni!$B23)</f>
      </c>
      <c r="B19" s="17">
        <f>IF(Impostazioni!$B23="","",Impostazioni!$C23)</f>
      </c>
      <c r="C19" s="12">
        <f>IF($A19="","",Impostazioni!$F23)</f>
      </c>
      <c r="D19" s="12">
        <f>IF($A19="","",Impostazioni!$F23)</f>
      </c>
      <c r="E19" s="12">
        <f>IF($A19="","",Impostazioni!$F23)</f>
      </c>
      <c r="F19" s="12">
        <f>IF($A19="","",Impostazioni!$F23)</f>
      </c>
      <c r="G19" s="12">
        <f>IF($A19="","",Impostazioni!$F23)</f>
      </c>
      <c r="H19" s="12">
        <f>IF($A19="","",Impostazioni!$F23)</f>
      </c>
      <c r="I19" s="12">
        <f>IF($A19="","",Impostazioni!$F23)</f>
      </c>
      <c r="J19" s="12">
        <f>IF($A19="","",Impostazioni!$F23)</f>
      </c>
      <c r="K19" s="12">
        <f>IF($A19="","",Impostazioni!$F23)</f>
      </c>
      <c r="L19" s="12">
        <f>IF($A19="","",Impostazioni!$F23)</f>
      </c>
      <c r="M19" s="12">
        <f>IF($A19="","",Impostazioni!$F23)</f>
      </c>
      <c r="N19" s="12">
        <f>IF($A19="","",Impostazioni!$F23)</f>
      </c>
      <c r="O19" s="13">
        <f t="shared" si="0"/>
      </c>
    </row>
    <row r="20" spans="1:15" x14ac:dyDescent="0.3">
      <c r="A20" s="16">
        <f>IF(Impostazioni!$B24="","",Impostazioni!$B24)</f>
      </c>
      <c r="B20" s="17">
        <f>IF(Impostazioni!$B24="","",Impostazioni!$C24)</f>
      </c>
      <c r="C20" s="12">
        <f>IF($A20="","",Impostazioni!$F24)</f>
      </c>
      <c r="D20" s="12">
        <f>IF($A20="","",Impostazioni!$F24)</f>
      </c>
      <c r="E20" s="12">
        <f>IF($A20="","",Impostazioni!$F24)</f>
      </c>
      <c r="F20" s="12">
        <f>IF($A20="","",Impostazioni!$F24)</f>
      </c>
      <c r="G20" s="12">
        <f>IF($A20="","",Impostazioni!$F24)</f>
      </c>
      <c r="H20" s="12">
        <f>IF($A20="","",Impostazioni!$F24)</f>
      </c>
      <c r="I20" s="12">
        <f>IF($A20="","",Impostazioni!$F24)</f>
      </c>
      <c r="J20" s="12">
        <f>IF($A20="","",Impostazioni!$F24)</f>
      </c>
      <c r="K20" s="12">
        <f>IF($A20="","",Impostazioni!$F24)</f>
      </c>
      <c r="L20" s="12">
        <f>IF($A20="","",Impostazioni!$F24)</f>
      </c>
      <c r="M20" s="12">
        <f>IF($A20="","",Impostazioni!$F24)</f>
      </c>
      <c r="N20" s="12">
        <f>IF($A20="","",Impostazioni!$F24)</f>
      </c>
      <c r="O20" s="13">
        <f t="shared" si="0"/>
      </c>
    </row>
    <row r="21" spans="1:15" x14ac:dyDescent="0.3">
      <c r="A21" s="16">
        <f>IF(Impostazioni!$B25="","",Impostazioni!$B25)</f>
      </c>
      <c r="B21" s="17">
        <f>IF(Impostazioni!$B25="","",Impostazioni!$C25)</f>
      </c>
      <c r="C21" s="12">
        <f>IF($A21="","",Impostazioni!$F25)</f>
      </c>
      <c r="D21" s="12">
        <f>IF($A21="","",Impostazioni!$F25)</f>
      </c>
      <c r="E21" s="12">
        <f>IF($A21="","",Impostazioni!$F25)</f>
      </c>
      <c r="F21" s="12">
        <f>IF($A21="","",Impostazioni!$F25)</f>
      </c>
      <c r="G21" s="12">
        <f>IF($A21="","",Impostazioni!$F25)</f>
      </c>
      <c r="H21" s="12">
        <f>IF($A21="","",Impostazioni!$F25)</f>
      </c>
      <c r="I21" s="12">
        <f>IF($A21="","",Impostazioni!$F25)</f>
      </c>
      <c r="J21" s="12">
        <f>IF($A21="","",Impostazioni!$F25)</f>
      </c>
      <c r="K21" s="12">
        <f>IF($A21="","",Impostazioni!$F25)</f>
      </c>
      <c r="L21" s="12">
        <f>IF($A21="","",Impostazioni!$F25)</f>
      </c>
      <c r="M21" s="12">
        <f>IF($A21="","",Impostazioni!$F25)</f>
      </c>
      <c r="N21" s="12">
        <f>IF($A21="","",Impostazioni!$F25)</f>
      </c>
      <c r="O21" s="13">
        <f t="shared" si="0"/>
      </c>
    </row>
    <row r="22" spans="1:15" x14ac:dyDescent="0.3">
      <c r="A22" s="16">
        <f>IF(Impostazioni!$B26="","",Impostazioni!$B26)</f>
      </c>
      <c r="B22" s="17">
        <f>IF(Impostazioni!$B26="","",Impostazioni!$C26)</f>
      </c>
      <c r="C22" s="12">
        <f>IF($A22="","",Impostazioni!$F26)</f>
      </c>
      <c r="D22" s="12">
        <f>IF($A22="","",Impostazioni!$F26)</f>
      </c>
      <c r="E22" s="12">
        <f>IF($A22="","",Impostazioni!$F26)</f>
      </c>
      <c r="F22" s="12">
        <f>IF($A22="","",Impostazioni!$F26)</f>
      </c>
      <c r="G22" s="12">
        <f>IF($A22="","",Impostazioni!$F26)</f>
      </c>
      <c r="H22" s="12">
        <f>IF($A22="","",Impostazioni!$F26)</f>
      </c>
      <c r="I22" s="12">
        <f>IF($A22="","",Impostazioni!$F26)</f>
      </c>
      <c r="J22" s="12">
        <f>IF($A22="","",Impostazioni!$F26)</f>
      </c>
      <c r="K22" s="12">
        <f>IF($A22="","",Impostazioni!$F26)</f>
      </c>
      <c r="L22" s="12">
        <f>IF($A22="","",Impostazioni!$F26)</f>
      </c>
      <c r="M22" s="12">
        <f>IF($A22="","",Impostazioni!$F26)</f>
      </c>
      <c r="N22" s="12">
        <f>IF($A22="","",Impostazioni!$F26)</f>
      </c>
      <c r="O22" s="13">
        <f t="shared" si="0"/>
      </c>
    </row>
    <row r="23" spans="1:15" x14ac:dyDescent="0.3">
      <c r="A23" s="16">
        <f>IF(Impostazioni!$B27="","",Impostazioni!$B27)</f>
      </c>
      <c r="B23" s="17">
        <f>IF(Impostazioni!$B27="","",Impostazioni!$C27)</f>
      </c>
      <c r="C23" s="12">
        <f>IF($A23="","",Impostazioni!$F27)</f>
      </c>
      <c r="D23" s="12">
        <f>IF($A23="","",Impostazioni!$F27)</f>
      </c>
      <c r="E23" s="12">
        <f>IF($A23="","",Impostazioni!$F27)</f>
      </c>
      <c r="F23" s="12">
        <f>IF($A23="","",Impostazioni!$F27)</f>
      </c>
      <c r="G23" s="12">
        <f>IF($A23="","",Impostazioni!$F27)</f>
      </c>
      <c r="H23" s="12">
        <f>IF($A23="","",Impostazioni!$F27)</f>
      </c>
      <c r="I23" s="12">
        <f>IF($A23="","",Impostazioni!$F27)</f>
      </c>
      <c r="J23" s="12">
        <f>IF($A23="","",Impostazioni!$F27)</f>
      </c>
      <c r="K23" s="12">
        <f>IF($A23="","",Impostazioni!$F27)</f>
      </c>
      <c r="L23" s="12">
        <f>IF($A23="","",Impostazioni!$F27)</f>
      </c>
      <c r="M23" s="12">
        <f>IF($A23="","",Impostazioni!$F27)</f>
      </c>
      <c r="N23" s="12">
        <f>IF($A23="","",Impostazioni!$F27)</f>
      </c>
      <c r="O23" s="13">
        <f t="shared" si="0"/>
      </c>
    </row>
    <row r="24" spans="1:15" x14ac:dyDescent="0.3">
      <c r="A24" s="16">
        <f>IF(Impostazioni!$B28="","",Impostazioni!$B28)</f>
      </c>
      <c r="B24" s="17">
        <f>IF(Impostazioni!$B28="","",Impostazioni!$C28)</f>
      </c>
      <c r="C24" s="12">
        <f>IF($A24="","",Impostazioni!$F28)</f>
      </c>
      <c r="D24" s="12">
        <f>IF($A24="","",Impostazioni!$F28)</f>
      </c>
      <c r="E24" s="12">
        <f>IF($A24="","",Impostazioni!$F28)</f>
      </c>
      <c r="F24" s="12">
        <f>IF($A24="","",Impostazioni!$F28)</f>
      </c>
      <c r="G24" s="12">
        <f>IF($A24="","",Impostazioni!$F28)</f>
      </c>
      <c r="H24" s="12">
        <f>IF($A24="","",Impostazioni!$F28)</f>
      </c>
      <c r="I24" s="12">
        <f>IF($A24="","",Impostazioni!$F28)</f>
      </c>
      <c r="J24" s="12">
        <f>IF($A24="","",Impostazioni!$F28)</f>
      </c>
      <c r="K24" s="12">
        <f>IF($A24="","",Impostazioni!$F28)</f>
      </c>
      <c r="L24" s="12">
        <f>IF($A24="","",Impostazioni!$F28)</f>
      </c>
      <c r="M24" s="12">
        <f>IF($A24="","",Impostazioni!$F28)</f>
      </c>
      <c r="N24" s="12">
        <f>IF($A24="","",Impostazioni!$F28)</f>
      </c>
      <c r="O24" s="13">
        <f t="shared" si="0"/>
      </c>
    </row>
    <row r="25" spans="1:15" x14ac:dyDescent="0.3">
      <c r="A25" s="16">
        <f>IF(Impostazioni!$B29="","",Impostazioni!$B29)</f>
      </c>
      <c r="B25" s="17">
        <f>IF(Impostazioni!$B29="","",Impostazioni!$C29)</f>
      </c>
      <c r="C25" s="12">
        <f>IF($A25="","",Impostazioni!$F29)</f>
      </c>
      <c r="D25" s="12">
        <f>IF($A25="","",Impostazioni!$F29)</f>
      </c>
      <c r="E25" s="12">
        <f>IF($A25="","",Impostazioni!$F29)</f>
      </c>
      <c r="F25" s="12">
        <f>IF($A25="","",Impostazioni!$F29)</f>
      </c>
      <c r="G25" s="12">
        <f>IF($A25="","",Impostazioni!$F29)</f>
      </c>
      <c r="H25" s="12">
        <f>IF($A25="","",Impostazioni!$F29)</f>
      </c>
      <c r="I25" s="12">
        <f>IF($A25="","",Impostazioni!$F29)</f>
      </c>
      <c r="J25" s="12">
        <f>IF($A25="","",Impostazioni!$F29)</f>
      </c>
      <c r="K25" s="12">
        <f>IF($A25="","",Impostazioni!$F29)</f>
      </c>
      <c r="L25" s="12">
        <f>IF($A25="","",Impostazioni!$F29)</f>
      </c>
      <c r="M25" s="12">
        <f>IF($A25="","",Impostazioni!$F29)</f>
      </c>
      <c r="N25" s="12">
        <f>IF($A25="","",Impostazioni!$F29)</f>
      </c>
      <c r="O25" s="13">
        <f t="shared" si="0"/>
      </c>
    </row>
    <row r="26" spans="1:15" x14ac:dyDescent="0.3">
      <c r="A26" s="16">
        <f>IF(Impostazioni!$B30="","",Impostazioni!$B30)</f>
      </c>
      <c r="B26" s="17">
        <f>IF(Impostazioni!$B30="","",Impostazioni!$C30)</f>
      </c>
      <c r="C26" s="12">
        <f>IF($A26="","",Impostazioni!$F30)</f>
      </c>
      <c r="D26" s="12">
        <f>IF($A26="","",Impostazioni!$F30)</f>
      </c>
      <c r="E26" s="12">
        <f>IF($A26="","",Impostazioni!$F30)</f>
      </c>
      <c r="F26" s="12">
        <f>IF($A26="","",Impostazioni!$F30)</f>
      </c>
      <c r="G26" s="12">
        <f>IF($A26="","",Impostazioni!$F30)</f>
      </c>
      <c r="H26" s="12">
        <f>IF($A26="","",Impostazioni!$F30)</f>
      </c>
      <c r="I26" s="12">
        <f>IF($A26="","",Impostazioni!$F30)</f>
      </c>
      <c r="J26" s="12">
        <f>IF($A26="","",Impostazioni!$F30)</f>
      </c>
      <c r="K26" s="12">
        <f>IF($A26="","",Impostazioni!$F30)</f>
      </c>
      <c r="L26" s="12">
        <f>IF($A26="","",Impostazioni!$F30)</f>
      </c>
      <c r="M26" s="12">
        <f>IF($A26="","",Impostazioni!$F30)</f>
      </c>
      <c r="N26" s="12">
        <f>IF($A26="","",Impostazioni!$F30)</f>
      </c>
      <c r="O26" s="13">
        <f t="shared" si="0"/>
      </c>
    </row>
    <row r="27" spans="1:15" x14ac:dyDescent="0.3">
      <c r="A27" s="16">
        <f>IF(Impostazioni!$B31="","",Impostazioni!$B31)</f>
      </c>
      <c r="B27" s="17">
        <f>IF(Impostazioni!$B31="","",Impostazioni!$C31)</f>
      </c>
      <c r="C27" s="12">
        <f>IF($A27="","",Impostazioni!$F31)</f>
      </c>
      <c r="D27" s="12">
        <f>IF($A27="","",Impostazioni!$F31)</f>
      </c>
      <c r="E27" s="12">
        <f>IF($A27="","",Impostazioni!$F31)</f>
      </c>
      <c r="F27" s="12">
        <f>IF($A27="","",Impostazioni!$F31)</f>
      </c>
      <c r="G27" s="12">
        <f>IF($A27="","",Impostazioni!$F31)</f>
      </c>
      <c r="H27" s="12">
        <f>IF($A27="","",Impostazioni!$F31)</f>
      </c>
      <c r="I27" s="12">
        <f>IF($A27="","",Impostazioni!$F31)</f>
      </c>
      <c r="J27" s="12">
        <f>IF($A27="","",Impostazioni!$F31)</f>
      </c>
      <c r="K27" s="12">
        <f>IF($A27="","",Impostazioni!$F31)</f>
      </c>
      <c r="L27" s="12">
        <f>IF($A27="","",Impostazioni!$F31)</f>
      </c>
      <c r="M27" s="12">
        <f>IF($A27="","",Impostazioni!$F31)</f>
      </c>
      <c r="N27" s="12">
        <f>IF($A27="","",Impostazioni!$F31)</f>
      </c>
      <c r="O27" s="13">
        <f t="shared" si="0"/>
      </c>
    </row>
    <row r="28" spans="1:15" x14ac:dyDescent="0.3">
      <c r="A28" s="16">
        <f>IF(Impostazioni!$B32="","",Impostazioni!$B32)</f>
      </c>
      <c r="B28" s="17">
        <f>IF(Impostazioni!$B32="","",Impostazioni!$C32)</f>
      </c>
      <c r="C28" s="12">
        <f>IF($A28="","",Impostazioni!$F32)</f>
      </c>
      <c r="D28" s="12">
        <f>IF($A28="","",Impostazioni!$F32)</f>
      </c>
      <c r="E28" s="12">
        <f>IF($A28="","",Impostazioni!$F32)</f>
      </c>
      <c r="F28" s="12">
        <f>IF($A28="","",Impostazioni!$F32)</f>
      </c>
      <c r="G28" s="12">
        <f>IF($A28="","",Impostazioni!$F32)</f>
      </c>
      <c r="H28" s="12">
        <f>IF($A28="","",Impostazioni!$F32)</f>
      </c>
      <c r="I28" s="12">
        <f>IF($A28="","",Impostazioni!$F32)</f>
      </c>
      <c r="J28" s="12">
        <f>IF($A28="","",Impostazioni!$F32)</f>
      </c>
      <c r="K28" s="12">
        <f>IF($A28="","",Impostazioni!$F32)</f>
      </c>
      <c r="L28" s="12">
        <f>IF($A28="","",Impostazioni!$F32)</f>
      </c>
      <c r="M28" s="12">
        <f>IF($A28="","",Impostazioni!$F32)</f>
      </c>
      <c r="N28" s="12">
        <f>IF($A28="","",Impostazioni!$F32)</f>
      </c>
      <c r="O28" s="13">
        <f t="shared" si="0"/>
      </c>
    </row>
    <row r="29" spans="1:15" x14ac:dyDescent="0.3">
      <c r="A29" s="16">
        <f>IF(Impostazioni!$B33="","",Impostazioni!$B33)</f>
      </c>
      <c r="B29" s="17">
        <f>IF(Impostazioni!$B33="","",Impostazioni!$C33)</f>
      </c>
      <c r="C29" s="12">
        <f>IF($A29="","",Impostazioni!$F33)</f>
      </c>
      <c r="D29" s="12">
        <f>IF($A29="","",Impostazioni!$F33)</f>
      </c>
      <c r="E29" s="12">
        <f>IF($A29="","",Impostazioni!$F33)</f>
      </c>
      <c r="F29" s="12">
        <f>IF($A29="","",Impostazioni!$F33)</f>
      </c>
      <c r="G29" s="12">
        <f>IF($A29="","",Impostazioni!$F33)</f>
      </c>
      <c r="H29" s="12">
        <f>IF($A29="","",Impostazioni!$F33)</f>
      </c>
      <c r="I29" s="12">
        <f>IF($A29="","",Impostazioni!$F33)</f>
      </c>
      <c r="J29" s="12">
        <f>IF($A29="","",Impostazioni!$F33)</f>
      </c>
      <c r="K29" s="12">
        <f>IF($A29="","",Impostazioni!$F33)</f>
      </c>
      <c r="L29" s="12">
        <f>IF($A29="","",Impostazioni!$F33)</f>
      </c>
      <c r="M29" s="12">
        <f>IF($A29="","",Impostazioni!$F33)</f>
      </c>
      <c r="N29" s="12">
        <f>IF($A29="","",Impostazioni!$F33)</f>
      </c>
      <c r="O29" s="13">
        <f t="shared" si="0"/>
      </c>
    </row>
    <row r="30" spans="1:15" x14ac:dyDescent="0.3">
      <c r="A30" s="16">
        <f>IF(Impostazioni!$B34="","",Impostazioni!$B34)</f>
      </c>
      <c r="B30" s="17">
        <f>IF(Impostazioni!$B34="","",Impostazioni!$C34)</f>
      </c>
      <c r="C30" s="12">
        <f>IF($A30="","",Impostazioni!$F34)</f>
      </c>
      <c r="D30" s="12">
        <f>IF($A30="","",Impostazioni!$F34)</f>
      </c>
      <c r="E30" s="12">
        <f>IF($A30="","",Impostazioni!$F34)</f>
      </c>
      <c r="F30" s="12">
        <f>IF($A30="","",Impostazioni!$F34)</f>
      </c>
      <c r="G30" s="12">
        <f>IF($A30="","",Impostazioni!$F34)</f>
      </c>
      <c r="H30" s="12">
        <f>IF($A30="","",Impostazioni!$F34)</f>
      </c>
      <c r="I30" s="12">
        <f>IF($A30="","",Impostazioni!$F34)</f>
      </c>
      <c r="J30" s="12">
        <f>IF($A30="","",Impostazioni!$F34)</f>
      </c>
      <c r="K30" s="12">
        <f>IF($A30="","",Impostazioni!$F34)</f>
      </c>
      <c r="L30" s="12">
        <f>IF($A30="","",Impostazioni!$F34)</f>
      </c>
      <c r="M30" s="12">
        <f>IF($A30="","",Impostazioni!$F34)</f>
      </c>
      <c r="N30" s="12">
        <f>IF($A30="","",Impostazioni!$F34)</f>
      </c>
      <c r="O30" s="13">
        <f t="shared" si="0"/>
      </c>
    </row>
    <row r="31" spans="1:15" x14ac:dyDescent="0.3">
      <c r="A31" s="16">
        <f>IF(Impostazioni!$B35="","",Impostazioni!$B35)</f>
      </c>
      <c r="B31" s="17">
        <f>IF(Impostazioni!$B35="","",Impostazioni!$C35)</f>
      </c>
      <c r="C31" s="12">
        <f>IF($A31="","",Impostazioni!$F35)</f>
      </c>
      <c r="D31" s="12">
        <f>IF($A31="","",Impostazioni!$F35)</f>
      </c>
      <c r="E31" s="12">
        <f>IF($A31="","",Impostazioni!$F35)</f>
      </c>
      <c r="F31" s="12">
        <f>IF($A31="","",Impostazioni!$F35)</f>
      </c>
      <c r="G31" s="12">
        <f>IF($A31="","",Impostazioni!$F35)</f>
      </c>
      <c r="H31" s="12">
        <f>IF($A31="","",Impostazioni!$F35)</f>
      </c>
      <c r="I31" s="12">
        <f>IF($A31="","",Impostazioni!$F35)</f>
      </c>
      <c r="J31" s="12">
        <f>IF($A31="","",Impostazioni!$F35)</f>
      </c>
      <c r="K31" s="12">
        <f>IF($A31="","",Impostazioni!$F35)</f>
      </c>
      <c r="L31" s="12">
        <f>IF($A31="","",Impostazioni!$F35)</f>
      </c>
      <c r="M31" s="12">
        <f>IF($A31="","",Impostazioni!$F35)</f>
      </c>
      <c r="N31" s="12">
        <f>IF($A31="","",Impostazioni!$F35)</f>
      </c>
      <c r="O31" s="13">
        <f t="shared" si="0"/>
      </c>
    </row>
    <row r="32" spans="1:15" x14ac:dyDescent="0.3">
      <c r="A32" s="16">
        <f>IF(Impostazioni!$B36="","",Impostazioni!$B36)</f>
      </c>
      <c r="B32" s="17">
        <f>IF(Impostazioni!$B36="","",Impostazioni!$C36)</f>
      </c>
      <c r="C32" s="12">
        <f>IF($A32="","",Impostazioni!$F36)</f>
      </c>
      <c r="D32" s="12">
        <f>IF($A32="","",Impostazioni!$F36)</f>
      </c>
      <c r="E32" s="12">
        <f>IF($A32="","",Impostazioni!$F36)</f>
      </c>
      <c r="F32" s="12">
        <f>IF($A32="","",Impostazioni!$F36)</f>
      </c>
      <c r="G32" s="12">
        <f>IF($A32="","",Impostazioni!$F36)</f>
      </c>
      <c r="H32" s="12">
        <f>IF($A32="","",Impostazioni!$F36)</f>
      </c>
      <c r="I32" s="12">
        <f>IF($A32="","",Impostazioni!$F36)</f>
      </c>
      <c r="J32" s="12">
        <f>IF($A32="","",Impostazioni!$F36)</f>
      </c>
      <c r="K32" s="12">
        <f>IF($A32="","",Impostazioni!$F36)</f>
      </c>
      <c r="L32" s="12">
        <f>IF($A32="","",Impostazioni!$F36)</f>
      </c>
      <c r="M32" s="12">
        <f>IF($A32="","",Impostazioni!$F36)</f>
      </c>
      <c r="N32" s="12">
        <f>IF($A32="","",Impostazioni!$F36)</f>
      </c>
      <c r="O32" s="13">
        <f t="shared" si="0"/>
      </c>
    </row>
    <row r="33" spans="1:15" x14ac:dyDescent="0.3">
      <c r="A33" s="16">
        <f>IF(Impostazioni!$B37="","",Impostazioni!$B37)</f>
      </c>
      <c r="B33" s="17">
        <f>IF(Impostazioni!$B37="","",Impostazioni!$C37)</f>
      </c>
      <c r="C33" s="12">
        <f>IF($A33="","",Impostazioni!$F37)</f>
      </c>
      <c r="D33" s="12">
        <f>IF($A33="","",Impostazioni!$F37)</f>
      </c>
      <c r="E33" s="12">
        <f>IF($A33="","",Impostazioni!$F37)</f>
      </c>
      <c r="F33" s="12">
        <f>IF($A33="","",Impostazioni!$F37)</f>
      </c>
      <c r="G33" s="12">
        <f>IF($A33="","",Impostazioni!$F37)</f>
      </c>
      <c r="H33" s="12">
        <f>IF($A33="","",Impostazioni!$F37)</f>
      </c>
      <c r="I33" s="12">
        <f>IF($A33="","",Impostazioni!$F37)</f>
      </c>
      <c r="J33" s="12">
        <f>IF($A33="","",Impostazioni!$F37)</f>
      </c>
      <c r="K33" s="12">
        <f>IF($A33="","",Impostazioni!$F37)</f>
      </c>
      <c r="L33" s="12">
        <f>IF($A33="","",Impostazioni!$F37)</f>
      </c>
      <c r="M33" s="12">
        <f>IF($A33="","",Impostazioni!$F37)</f>
      </c>
      <c r="N33" s="12">
        <f>IF($A33="","",Impostazioni!$F37)</f>
      </c>
      <c r="O33" s="13">
        <f t="shared" si="0"/>
      </c>
    </row>
    <row r="34" spans="1:15" x14ac:dyDescent="0.3">
      <c r="A34" s="16">
        <f>IF(Impostazioni!$B38="","",Impostazioni!$B38)</f>
      </c>
      <c r="B34" s="17">
        <f>IF(Impostazioni!$B38="","",Impostazioni!$C38)</f>
      </c>
      <c r="C34" s="12">
        <f>IF($A34="","",Impostazioni!$F38)</f>
      </c>
      <c r="D34" s="12">
        <f>IF($A34="","",Impostazioni!$F38)</f>
      </c>
      <c r="E34" s="12">
        <f>IF($A34="","",Impostazioni!$F38)</f>
      </c>
      <c r="F34" s="12">
        <f>IF($A34="","",Impostazioni!$F38)</f>
      </c>
      <c r="G34" s="12">
        <f>IF($A34="","",Impostazioni!$F38)</f>
      </c>
      <c r="H34" s="12">
        <f>IF($A34="","",Impostazioni!$F38)</f>
      </c>
      <c r="I34" s="12">
        <f>IF($A34="","",Impostazioni!$F38)</f>
      </c>
      <c r="J34" s="12">
        <f>IF($A34="","",Impostazioni!$F38)</f>
      </c>
      <c r="K34" s="12">
        <f>IF($A34="","",Impostazioni!$F38)</f>
      </c>
      <c r="L34" s="12">
        <f>IF($A34="","",Impostazioni!$F38)</f>
      </c>
      <c r="M34" s="12">
        <f>IF($A34="","",Impostazioni!$F38)</f>
      </c>
      <c r="N34" s="12">
        <f>IF($A34="","",Impostazioni!$F38)</f>
      </c>
      <c r="O34" s="13">
        <f t="shared" si="0"/>
      </c>
    </row>
    <row r="35" spans="1:15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3">
      <c r="A36" s="18" t="inlineStr">
        <is>
          <t>TOTALE ENTRATE</t>
        </is>
      </c>
      <c r="B36" s="19"/>
      <c r="C36" s="13">
        <f t="shared" ref="C36:N36" si="1">SUMIF($B$5:$B$34,"Entrata",C$5:C$34)</f>
      </c>
      <c r="D36" s="13">
        <f t="shared" si="1"/>
      </c>
      <c r="E36" s="13">
        <f t="shared" si="1"/>
      </c>
      <c r="F36" s="13">
        <f t="shared" si="1"/>
      </c>
      <c r="G36" s="13">
        <f t="shared" si="1"/>
      </c>
      <c r="H36" s="13">
        <f t="shared" si="1"/>
      </c>
      <c r="I36" s="13">
        <f t="shared" si="1"/>
      </c>
      <c r="J36" s="13">
        <f t="shared" si="1"/>
      </c>
      <c r="K36" s="13">
        <f t="shared" si="1"/>
      </c>
      <c r="L36" s="13">
        <f t="shared" si="1"/>
      </c>
      <c r="M36" s="13">
        <f t="shared" si="1"/>
      </c>
      <c r="N36" s="13">
        <f t="shared" si="1"/>
      </c>
      <c r="O36" s="13">
        <f>SUM(C36:N36)</f>
      </c>
    </row>
    <row r="37" spans="1:15" x14ac:dyDescent="0.3">
      <c r="A37" s="18" t="inlineStr">
        <is>
          <t>TOTALE USCITE</t>
        </is>
      </c>
      <c r="B37" s="19"/>
      <c r="C37" s="13">
        <f t="shared" ref="C37:N37" si="2">SUMIF($B$5:$B$34,"Spesa",C$5:C$34)</f>
      </c>
      <c r="D37" s="13">
        <f t="shared" si="2"/>
      </c>
      <c r="E37" s="13">
        <f t="shared" si="2"/>
      </c>
      <c r="F37" s="13">
        <f t="shared" si="2"/>
      </c>
      <c r="G37" s="13">
        <f t="shared" si="2"/>
      </c>
      <c r="H37" s="13">
        <f t="shared" si="2"/>
      </c>
      <c r="I37" s="13">
        <f t="shared" si="2"/>
      </c>
      <c r="J37" s="13">
        <f t="shared" si="2"/>
      </c>
      <c r="K37" s="13">
        <f t="shared" si="2"/>
      </c>
      <c r="L37" s="13">
        <f t="shared" si="2"/>
      </c>
      <c r="M37" s="13">
        <f t="shared" si="2"/>
      </c>
      <c r="N37" s="13">
        <f t="shared" si="2"/>
      </c>
      <c r="O37" s="13">
        <f>SUM(C37:N37)</f>
      </c>
    </row>
    <row r="38" spans="1:15" x14ac:dyDescent="0.3">
      <c r="A38" s="20" t="inlineStr">
        <is>
          <t>RISPARMIO PREVISTO</t>
        </is>
      </c>
      <c r="B38" s="2"/>
      <c r="C38" s="21">
        <f t="shared" ref="C38:N38" si="3">C36-C37</f>
      </c>
      <c r="D38" s="21">
        <f t="shared" si="3"/>
      </c>
      <c r="E38" s="21">
        <f t="shared" si="3"/>
      </c>
      <c r="F38" s="21">
        <f t="shared" si="3"/>
      </c>
      <c r="G38" s="21">
        <f t="shared" si="3"/>
      </c>
      <c r="H38" s="21">
        <f t="shared" si="3"/>
      </c>
      <c r="I38" s="21">
        <f t="shared" si="3"/>
      </c>
      <c r="J38" s="21">
        <f t="shared" si="3"/>
      </c>
      <c r="K38" s="21">
        <f t="shared" si="3"/>
      </c>
      <c r="L38" s="21">
        <f t="shared" si="3"/>
      </c>
      <c r="M38" s="21">
        <f t="shared" si="3"/>
      </c>
      <c r="N38" s="21">
        <f t="shared" si="3"/>
      </c>
      <c r="O38" s="21">
        <f>SUM(C38:N38)</f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43"/>
  <sheetViews>
    <sheetView showGridLines="0" zoomScaleNormal="100" workbookViewId="0">
      <pane ySplit="10" topLeftCell="A11" activePane="bottomLeft" state="frozen"/>
      <selection activeCell="C1" sqref="C1"/>
      <selection pane="bottomLeft" activeCell="C4" sqref="C4"/>
    </sheetView>
  </sheetViews>
  <sheetFormatPr defaultColWidth="8.5546875" defaultRowHeight="14.4" x14ac:dyDescent="0.3"/>
  <cols>
    <col min="2" max="2" width="24" customWidth="1"/>
    <col min="3" max="3" width="13.6640625" customWidth="1"/>
    <col min="4" max="5" width="14.88671875" customWidth="1"/>
    <col min="6" max="6" width="17" customWidth="1"/>
    <col min="7" max="7" width="12" customWidth="1"/>
    <col min="8" max="8" width="14.88671875" customWidth="1"/>
  </cols>
  <sheetData>
    <row r="2" spans="2:8" ht="21.75" customHeight="1" x14ac:dyDescent="0.3">
      <c r="B2" s="1" t="inlineStr">
        <is>
          <t>RIEPILOGO MENSILE — budget vs effettivo</t>
        </is>
      </c>
      <c r="C2" s="2"/>
      <c r="D2" s="2"/>
      <c r="E2" s="2"/>
      <c r="F2" s="2"/>
      <c r="G2" s="2"/>
      <c r="H2" s="2"/>
    </row>
    <row r="3" spans="2:8" x14ac:dyDescent="0.3">
      <c r="B3" s="4"/>
      <c r="C3" s="4"/>
      <c r="D3" s="4"/>
      <c r="E3" s="4"/>
      <c r="F3" s="4"/>
      <c r="G3" s="4"/>
      <c r="H3" s="4"/>
    </row>
    <row r="4" spans="2:8" x14ac:dyDescent="0.3">
      <c r="B4" s="8" t="inlineStr">
        <is>
          <t>Mese</t>
        </is>
      </c>
      <c r="C4" s="11" t="inlineStr">
        <is>
          <t>Ottobre</t>
        </is>
      </c>
      <c r="D4" s="3" t="inlineStr">
        <is>
          <t>← scegli il mese dal menù a tendina</t>
        </is>
      </c>
      <c r="E4" s="4"/>
      <c r="F4" s="3" t="inlineStr">
        <is>
          <t>n. mese (auto)</t>
        </is>
      </c>
      <c r="G4" s="22">
        <f>MATCH($C$4,Mesi,0)</f>
      </c>
      <c r="H4" s="4"/>
    </row>
    <row r="5" spans="2:8" x14ac:dyDescent="0.3">
      <c r="B5" s="8" t="inlineStr">
        <is>
          <t>Anno</t>
        </is>
      </c>
      <c r="C5" s="23">
        <f>Impostazioni!$C$4</f>
      </c>
      <c r="D5" s="4"/>
      <c r="E5" s="4"/>
      <c r="F5" s="4"/>
      <c r="G5" s="4"/>
      <c r="H5" s="4"/>
    </row>
    <row r="6" spans="2:8" x14ac:dyDescent="0.3">
      <c r="B6" s="4"/>
      <c r="C6" s="4"/>
      <c r="D6" s="4"/>
      <c r="E6" s="4"/>
      <c r="F6" s="4"/>
      <c r="G6" s="4"/>
      <c r="H6" s="4"/>
    </row>
    <row r="7" spans="2:8" ht="27.75" customHeight="1" x14ac:dyDescent="0.3">
      <c r="B7" s="40" t="inlineStr">
        <is>
          <t>Entrate previste</t>
        </is>
      </c>
      <c r="C7" s="40" t="inlineStr">
        <is>
          <t>Entrate effettive</t>
        </is>
      </c>
      <c r="D7" s="40" t="inlineStr">
        <is>
          <t>Uscite previste</t>
        </is>
      </c>
      <c r="E7" s="40" t="inlineStr">
        <is>
          <t>Uscite effettive</t>
        </is>
      </c>
      <c r="F7" s="40" t="inlineStr">
        <is>
          <t>Risparmio previsto</t>
        </is>
      </c>
      <c r="G7" s="40" t="inlineStr">
        <is>
          <t>Risparmio effettivo</t>
        </is>
      </c>
      <c r="H7" s="40" t="inlineStr">
        <is>
          <t>Tasso di risparmio</t>
        </is>
      </c>
    </row>
    <row r="8" spans="2:8" ht="19.2" customHeight="1" x14ac:dyDescent="0.3">
      <c r="B8" s="24">
        <f>SUMIF($C$11:$C$40,"Entrata",$D$11:$D$40)</f>
      </c>
      <c r="C8" s="24">
        <f>SUMIF($C$11:$C$40,"Entrata",$E$11:$E$40)</f>
      </c>
      <c r="D8" s="24">
        <f>SUMIF($C$11:$C$40,"Spesa",$D$11:$D$40)</f>
      </c>
      <c r="E8" s="24">
        <f>SUMIF($C$11:$C$40,"Spesa",$E$11:$E$40)</f>
      </c>
      <c r="F8" s="24">
        <f>B8-D8</f>
      </c>
      <c r="G8" s="24">
        <f>C8-E8</f>
      </c>
      <c r="H8" s="25">
        <f>IF(C8=0,"",G8/C8)</f>
      </c>
    </row>
    <row r="9" spans="2:8" x14ac:dyDescent="0.3">
      <c r="B9" s="4"/>
      <c r="C9" s="4"/>
      <c r="D9" s="4"/>
      <c r="E9" s="4"/>
      <c r="F9" s="4"/>
      <c r="G9" s="4"/>
      <c r="H9" s="4"/>
    </row>
    <row r="10" spans="2:8" ht="19.5" customHeight="1" x14ac:dyDescent="0.3">
      <c r="B10" s="39" t="inlineStr">
        <is>
          <t>Categoria</t>
        </is>
      </c>
      <c r="C10" s="39" t="inlineStr">
        <is>
          <t>Tipo</t>
        </is>
      </c>
      <c r="D10" s="39" t="inlineStr">
        <is>
          <t>Budget (€)</t>
        </is>
      </c>
      <c r="E10" s="39" t="inlineStr">
        <is>
          <t>Effettivo (€)</t>
        </is>
      </c>
      <c r="F10" s="39" t="inlineStr">
        <is>
          <t>Scostamento (€)</t>
        </is>
      </c>
      <c r="G10" s="39" t="inlineStr">
        <is>
          <t>% utilizzo</t>
        </is>
      </c>
      <c r="H10" s="39" t="inlineStr">
        <is>
          <t>Stato</t>
        </is>
      </c>
    </row>
    <row r="11" spans="2:8" x14ac:dyDescent="0.3">
      <c r="B11" s="16">
        <f>IF(Budget!$A5="","",Budget!$A5)</f>
      </c>
      <c r="C11" s="17">
        <f>IF(Budget!$A5="","",Budget!$B5)</f>
      </c>
      <c r="D11" s="12">
        <f>IF($B11="","",INDEX(Budget!$C$5:$N$34,1,$G$4))</f>
      </c>
      <c r="E11" s="12">
        <f>IF($B11="","",SUMIFS(Movimenti!$E$5:$E$5000,Movimenti!$C$5:$C$5000,$B11,Movimenti!$F$5:$F$5000,$G$4,Movimenti!$G$5:$G$5000,$C$5))</f>
      </c>
      <c r="F11" s="26">
        <f t="shared" ref="F11:F40" si="0">IF($B11="","",IF($C11="Entrata",$E11-$D11,$D11-$E11))</f>
      </c>
      <c r="G11" s="27">
        <f t="shared" ref="G11:G40" si="1">IF(OR($B11="",$D11=0),"",$E11/$D11)</f>
      </c>
      <c r="H11" s="28">
        <f t="shared" ref="H11:H40" si="2">IF($B11="","",IF(AND($D11=0,$E11=0),"—",IF($F11&lt;0,IF($C11="Entrata","Sotto le attese","Sforato"),IF(AND($C11="Spesa",$D11&gt;0,$E11/$D11&gt;=0.9),"Attenzione","OK"))))</f>
      </c>
    </row>
    <row r="12" spans="2:8" x14ac:dyDescent="0.3">
      <c r="B12" s="16">
        <f>IF(Budget!$A6="","",Budget!$A6)</f>
      </c>
      <c r="C12" s="17">
        <f>IF(Budget!$A6="","",Budget!$B6)</f>
      </c>
      <c r="D12" s="12">
        <f>IF($B12="","",INDEX(Budget!$C$5:$N$34,2,$G$4))</f>
      </c>
      <c r="E12" s="12">
        <f>IF($B12="","",SUMIFS(Movimenti!$E$5:$E$5000,Movimenti!$C$5:$C$5000,$B12,Movimenti!$F$5:$F$5000,$G$4,Movimenti!$G$5:$G$5000,$C$5))</f>
      </c>
      <c r="F12" s="26">
        <f t="shared" si="0"/>
      </c>
      <c r="G12" s="27">
        <f t="shared" si="1"/>
      </c>
      <c r="H12" s="28">
        <f t="shared" si="2"/>
      </c>
    </row>
    <row r="13" spans="2:8" x14ac:dyDescent="0.3">
      <c r="B13" s="16">
        <f>IF(Budget!$A7="","",Budget!$A7)</f>
      </c>
      <c r="C13" s="17">
        <f>IF(Budget!$A7="","",Budget!$B7)</f>
      </c>
      <c r="D13" s="12">
        <f>IF($B13="","",INDEX(Budget!$C$5:$N$34,3,$G$4))</f>
      </c>
      <c r="E13" s="12">
        <f>IF($B13="","",SUMIFS(Movimenti!$E$5:$E$5000,Movimenti!$C$5:$C$5000,$B13,Movimenti!$F$5:$F$5000,$G$4,Movimenti!$G$5:$G$5000,$C$5))</f>
      </c>
      <c r="F13" s="26">
        <f t="shared" si="0"/>
      </c>
      <c r="G13" s="27">
        <f t="shared" si="1"/>
      </c>
      <c r="H13" s="28">
        <f t="shared" si="2"/>
      </c>
    </row>
    <row r="14" spans="2:8" x14ac:dyDescent="0.3">
      <c r="B14" s="16">
        <f>IF(Budget!$A8="","",Budget!$A8)</f>
      </c>
      <c r="C14" s="17">
        <f>IF(Budget!$A8="","",Budget!$B8)</f>
      </c>
      <c r="D14" s="12">
        <f>IF($B14="","",INDEX(Budget!$C$5:$N$34,4,$G$4))</f>
      </c>
      <c r="E14" s="12">
        <f>IF($B14="","",SUMIFS(Movimenti!$E$5:$E$5000,Movimenti!$C$5:$C$5000,$B14,Movimenti!$F$5:$F$5000,$G$4,Movimenti!$G$5:$G$5000,$C$5))</f>
      </c>
      <c r="F14" s="26">
        <f t="shared" si="0"/>
      </c>
      <c r="G14" s="27">
        <f t="shared" si="1"/>
      </c>
      <c r="H14" s="28">
        <f t="shared" si="2"/>
      </c>
    </row>
    <row r="15" spans="2:8" x14ac:dyDescent="0.3">
      <c r="B15" s="16">
        <f>IF(Budget!$A9="","",Budget!$A9)</f>
      </c>
      <c r="C15" s="17">
        <f>IF(Budget!$A9="","",Budget!$B9)</f>
      </c>
      <c r="D15" s="12">
        <f>IF($B15="","",INDEX(Budget!$C$5:$N$34,5,$G$4))</f>
      </c>
      <c r="E15" s="12">
        <f>IF($B15="","",SUMIFS(Movimenti!$E$5:$E$5000,Movimenti!$C$5:$C$5000,$B15,Movimenti!$F$5:$F$5000,$G$4,Movimenti!$G$5:$G$5000,$C$5))</f>
      </c>
      <c r="F15" s="26">
        <f t="shared" si="0"/>
      </c>
      <c r="G15" s="27">
        <f t="shared" si="1"/>
      </c>
      <c r="H15" s="28">
        <f t="shared" si="2"/>
      </c>
    </row>
    <row r="16" spans="2:8" x14ac:dyDescent="0.3">
      <c r="B16" s="16">
        <f>IF(Budget!$A10="","",Budget!$A10)</f>
      </c>
      <c r="C16" s="17">
        <f>IF(Budget!$A10="","",Budget!$B10)</f>
      </c>
      <c r="D16" s="12">
        <f>IF($B16="","",INDEX(Budget!$C$5:$N$34,6,$G$4))</f>
      </c>
      <c r="E16" s="12">
        <f>IF($B16="","",SUMIFS(Movimenti!$E$5:$E$5000,Movimenti!$C$5:$C$5000,$B16,Movimenti!$F$5:$F$5000,$G$4,Movimenti!$G$5:$G$5000,$C$5))</f>
      </c>
      <c r="F16" s="26">
        <f t="shared" si="0"/>
      </c>
      <c r="G16" s="27">
        <f t="shared" si="1"/>
      </c>
      <c r="H16" s="28">
        <f t="shared" si="2"/>
      </c>
    </row>
    <row r="17" spans="2:8" x14ac:dyDescent="0.3">
      <c r="B17" s="16">
        <f>IF(Budget!$A11="","",Budget!$A11)</f>
      </c>
      <c r="C17" s="17">
        <f>IF(Budget!$A11="","",Budget!$B11)</f>
      </c>
      <c r="D17" s="12">
        <f>IF($B17="","",INDEX(Budget!$C$5:$N$34,7,$G$4))</f>
      </c>
      <c r="E17" s="12">
        <f>IF($B17="","",SUMIFS(Movimenti!$E$5:$E$5000,Movimenti!$C$5:$C$5000,$B17,Movimenti!$F$5:$F$5000,$G$4,Movimenti!$G$5:$G$5000,$C$5))</f>
      </c>
      <c r="F17" s="26">
        <f t="shared" si="0"/>
      </c>
      <c r="G17" s="27">
        <f t="shared" si="1"/>
      </c>
      <c r="H17" s="28">
        <f t="shared" si="2"/>
      </c>
    </row>
    <row r="18" spans="2:8" x14ac:dyDescent="0.3">
      <c r="B18" s="16">
        <f>IF(Budget!$A12="","",Budget!$A12)</f>
      </c>
      <c r="C18" s="17">
        <f>IF(Budget!$A12="","",Budget!$B12)</f>
      </c>
      <c r="D18" s="12">
        <f>IF($B18="","",INDEX(Budget!$C$5:$N$34,8,$G$4))</f>
      </c>
      <c r="E18" s="12">
        <f>IF($B18="","",SUMIFS(Movimenti!$E$5:$E$5000,Movimenti!$C$5:$C$5000,$B18,Movimenti!$F$5:$F$5000,$G$4,Movimenti!$G$5:$G$5000,$C$5))</f>
      </c>
      <c r="F18" s="26">
        <f t="shared" si="0"/>
      </c>
      <c r="G18" s="27">
        <f t="shared" si="1"/>
      </c>
      <c r="H18" s="28">
        <f t="shared" si="2"/>
      </c>
    </row>
    <row r="19" spans="2:8" x14ac:dyDescent="0.3">
      <c r="B19" s="16">
        <f>IF(Budget!$A13="","",Budget!$A13)</f>
      </c>
      <c r="C19" s="17">
        <f>IF(Budget!$A13="","",Budget!$B13)</f>
      </c>
      <c r="D19" s="12">
        <f>IF($B19="","",INDEX(Budget!$C$5:$N$34,9,$G$4))</f>
      </c>
      <c r="E19" s="12">
        <f>IF($B19="","",SUMIFS(Movimenti!$E$5:$E$5000,Movimenti!$C$5:$C$5000,$B19,Movimenti!$F$5:$F$5000,$G$4,Movimenti!$G$5:$G$5000,$C$5))</f>
      </c>
      <c r="F19" s="26">
        <f t="shared" si="0"/>
      </c>
      <c r="G19" s="27">
        <f t="shared" si="1"/>
      </c>
      <c r="H19" s="28">
        <f t="shared" si="2"/>
      </c>
    </row>
    <row r="20" spans="2:8" x14ac:dyDescent="0.3">
      <c r="B20" s="16">
        <f>IF(Budget!$A14="","",Budget!$A14)</f>
      </c>
      <c r="C20" s="17">
        <f>IF(Budget!$A14="","",Budget!$B14)</f>
      </c>
      <c r="D20" s="12">
        <f>IF($B20="","",INDEX(Budget!$C$5:$N$34,10,$G$4))</f>
      </c>
      <c r="E20" s="12">
        <f>IF($B20="","",SUMIFS(Movimenti!$E$5:$E$5000,Movimenti!$C$5:$C$5000,$B20,Movimenti!$F$5:$F$5000,$G$4,Movimenti!$G$5:$G$5000,$C$5))</f>
      </c>
      <c r="F20" s="26">
        <f t="shared" si="0"/>
      </c>
      <c r="G20" s="27">
        <f t="shared" si="1"/>
      </c>
      <c r="H20" s="28">
        <f t="shared" si="2"/>
      </c>
    </row>
    <row r="21" spans="2:8" x14ac:dyDescent="0.3">
      <c r="B21" s="16">
        <f>IF(Budget!$A15="","",Budget!$A15)</f>
      </c>
      <c r="C21" s="17">
        <f>IF(Budget!$A15="","",Budget!$B15)</f>
      </c>
      <c r="D21" s="12">
        <f>IF($B21="","",INDEX(Budget!$C$5:$N$34,11,$G$4))</f>
      </c>
      <c r="E21" s="12">
        <f>IF($B21="","",SUMIFS(Movimenti!$E$5:$E$5000,Movimenti!$C$5:$C$5000,$B21,Movimenti!$F$5:$F$5000,$G$4,Movimenti!$G$5:$G$5000,$C$5))</f>
      </c>
      <c r="F21" s="26">
        <f t="shared" si="0"/>
      </c>
      <c r="G21" s="27">
        <f t="shared" si="1"/>
      </c>
      <c r="H21" s="28">
        <f t="shared" si="2"/>
      </c>
    </row>
    <row r="22" spans="2:8" x14ac:dyDescent="0.3">
      <c r="B22" s="16">
        <f>IF(Budget!$A16="","",Budget!$A16)</f>
      </c>
      <c r="C22" s="17">
        <f>IF(Budget!$A16="","",Budget!$B16)</f>
      </c>
      <c r="D22" s="12">
        <f>IF($B22="","",INDEX(Budget!$C$5:$N$34,12,$G$4))</f>
      </c>
      <c r="E22" s="12">
        <f>IF($B22="","",SUMIFS(Movimenti!$E$5:$E$5000,Movimenti!$C$5:$C$5000,$B22,Movimenti!$F$5:$F$5000,$G$4,Movimenti!$G$5:$G$5000,$C$5))</f>
      </c>
      <c r="F22" s="26">
        <f t="shared" si="0"/>
      </c>
      <c r="G22" s="27">
        <f t="shared" si="1"/>
      </c>
      <c r="H22" s="28">
        <f t="shared" si="2"/>
      </c>
    </row>
    <row r="23" spans="2:8" x14ac:dyDescent="0.3">
      <c r="B23" s="16">
        <f>IF(Budget!$A17="","",Budget!$A17)</f>
      </c>
      <c r="C23" s="17">
        <f>IF(Budget!$A17="","",Budget!$B17)</f>
      </c>
      <c r="D23" s="12">
        <f>IF($B23="","",INDEX(Budget!$C$5:$N$34,13,$G$4))</f>
      </c>
      <c r="E23" s="12">
        <f>IF($B23="","",SUMIFS(Movimenti!$E$5:$E$5000,Movimenti!$C$5:$C$5000,$B23,Movimenti!$F$5:$F$5000,$G$4,Movimenti!$G$5:$G$5000,$C$5))</f>
      </c>
      <c r="F23" s="26">
        <f t="shared" si="0"/>
      </c>
      <c r="G23" s="27">
        <f t="shared" si="1"/>
      </c>
      <c r="H23" s="28">
        <f t="shared" si="2"/>
      </c>
    </row>
    <row r="24" spans="2:8" x14ac:dyDescent="0.3">
      <c r="B24" s="16">
        <f>IF(Budget!$A18="","",Budget!$A18)</f>
      </c>
      <c r="C24" s="17">
        <f>IF(Budget!$A18="","",Budget!$B18)</f>
      </c>
      <c r="D24" s="12">
        <f>IF($B24="","",INDEX(Budget!$C$5:$N$34,14,$G$4))</f>
      </c>
      <c r="E24" s="12">
        <f>IF($B24="","",SUMIFS(Movimenti!$E$5:$E$5000,Movimenti!$C$5:$C$5000,$B24,Movimenti!$F$5:$F$5000,$G$4,Movimenti!$G$5:$G$5000,$C$5))</f>
      </c>
      <c r="F24" s="26">
        <f t="shared" si="0"/>
      </c>
      <c r="G24" s="27">
        <f t="shared" si="1"/>
      </c>
      <c r="H24" s="28">
        <f t="shared" si="2"/>
      </c>
    </row>
    <row r="25" spans="2:8" x14ac:dyDescent="0.3">
      <c r="B25" s="16">
        <f>IF(Budget!$A19="","",Budget!$A19)</f>
      </c>
      <c r="C25" s="17">
        <f>IF(Budget!$A19="","",Budget!$B19)</f>
      </c>
      <c r="D25" s="12">
        <f>IF($B25="","",INDEX(Budget!$C$5:$N$34,15,$G$4))</f>
      </c>
      <c r="E25" s="12">
        <f>IF($B25="","",SUMIFS(Movimenti!$E$5:$E$5000,Movimenti!$C$5:$C$5000,$B25,Movimenti!$F$5:$F$5000,$G$4,Movimenti!$G$5:$G$5000,$C$5))</f>
      </c>
      <c r="F25" s="26">
        <f t="shared" si="0"/>
      </c>
      <c r="G25" s="27">
        <f t="shared" si="1"/>
      </c>
      <c r="H25" s="28">
        <f t="shared" si="2"/>
      </c>
    </row>
    <row r="26" spans="2:8" x14ac:dyDescent="0.3">
      <c r="B26" s="16">
        <f>IF(Budget!$A20="","",Budget!$A20)</f>
      </c>
      <c r="C26" s="17">
        <f>IF(Budget!$A20="","",Budget!$B20)</f>
      </c>
      <c r="D26" s="12">
        <f>IF($B26="","",INDEX(Budget!$C$5:$N$34,16,$G$4))</f>
      </c>
      <c r="E26" s="12">
        <f>IF($B26="","",SUMIFS(Movimenti!$E$5:$E$5000,Movimenti!$C$5:$C$5000,$B26,Movimenti!$F$5:$F$5000,$G$4,Movimenti!$G$5:$G$5000,$C$5))</f>
      </c>
      <c r="F26" s="26">
        <f t="shared" si="0"/>
      </c>
      <c r="G26" s="27">
        <f t="shared" si="1"/>
      </c>
      <c r="H26" s="28">
        <f t="shared" si="2"/>
      </c>
    </row>
    <row r="27" spans="2:8" x14ac:dyDescent="0.3">
      <c r="B27" s="16">
        <f>IF(Budget!$A21="","",Budget!$A21)</f>
      </c>
      <c r="C27" s="17">
        <f>IF(Budget!$A21="","",Budget!$B21)</f>
      </c>
      <c r="D27" s="12">
        <f>IF($B27="","",INDEX(Budget!$C$5:$N$34,17,$G$4))</f>
      </c>
      <c r="E27" s="12">
        <f>IF($B27="","",SUMIFS(Movimenti!$E$5:$E$5000,Movimenti!$C$5:$C$5000,$B27,Movimenti!$F$5:$F$5000,$G$4,Movimenti!$G$5:$G$5000,$C$5))</f>
      </c>
      <c r="F27" s="26">
        <f t="shared" si="0"/>
      </c>
      <c r="G27" s="27">
        <f t="shared" si="1"/>
      </c>
      <c r="H27" s="28">
        <f t="shared" si="2"/>
      </c>
    </row>
    <row r="28" spans="2:8" x14ac:dyDescent="0.3">
      <c r="B28" s="16">
        <f>IF(Budget!$A22="","",Budget!$A22)</f>
      </c>
      <c r="C28" s="17">
        <f>IF(Budget!$A22="","",Budget!$B22)</f>
      </c>
      <c r="D28" s="12">
        <f>IF($B28="","",INDEX(Budget!$C$5:$N$34,18,$G$4))</f>
      </c>
      <c r="E28" s="12">
        <f>IF($B28="","",SUMIFS(Movimenti!$E$5:$E$5000,Movimenti!$C$5:$C$5000,$B28,Movimenti!$F$5:$F$5000,$G$4,Movimenti!$G$5:$G$5000,$C$5))</f>
      </c>
      <c r="F28" s="26">
        <f t="shared" si="0"/>
      </c>
      <c r="G28" s="27">
        <f t="shared" si="1"/>
      </c>
      <c r="H28" s="28">
        <f t="shared" si="2"/>
      </c>
    </row>
    <row r="29" spans="2:8" x14ac:dyDescent="0.3">
      <c r="B29" s="16">
        <f>IF(Budget!$A23="","",Budget!$A23)</f>
      </c>
      <c r="C29" s="17">
        <f>IF(Budget!$A23="","",Budget!$B23)</f>
      </c>
      <c r="D29" s="12">
        <f>IF($B29="","",INDEX(Budget!$C$5:$N$34,19,$G$4))</f>
      </c>
      <c r="E29" s="12">
        <f>IF($B29="","",SUMIFS(Movimenti!$E$5:$E$5000,Movimenti!$C$5:$C$5000,$B29,Movimenti!$F$5:$F$5000,$G$4,Movimenti!$G$5:$G$5000,$C$5))</f>
      </c>
      <c r="F29" s="26">
        <f t="shared" si="0"/>
      </c>
      <c r="G29" s="27">
        <f t="shared" si="1"/>
      </c>
      <c r="H29" s="28">
        <f t="shared" si="2"/>
      </c>
    </row>
    <row r="30" spans="2:8" x14ac:dyDescent="0.3">
      <c r="B30" s="16">
        <f>IF(Budget!$A24="","",Budget!$A24)</f>
      </c>
      <c r="C30" s="17">
        <f>IF(Budget!$A24="","",Budget!$B24)</f>
      </c>
      <c r="D30" s="12">
        <f>IF($B30="","",INDEX(Budget!$C$5:$N$34,20,$G$4))</f>
      </c>
      <c r="E30" s="12">
        <f>IF($B30="","",SUMIFS(Movimenti!$E$5:$E$5000,Movimenti!$C$5:$C$5000,$B30,Movimenti!$F$5:$F$5000,$G$4,Movimenti!$G$5:$G$5000,$C$5))</f>
      </c>
      <c r="F30" s="26">
        <f t="shared" si="0"/>
      </c>
      <c r="G30" s="27">
        <f t="shared" si="1"/>
      </c>
      <c r="H30" s="28">
        <f t="shared" si="2"/>
      </c>
    </row>
    <row r="31" spans="2:8" x14ac:dyDescent="0.3">
      <c r="B31" s="16">
        <f>IF(Budget!$A25="","",Budget!$A25)</f>
      </c>
      <c r="C31" s="17">
        <f>IF(Budget!$A25="","",Budget!$B25)</f>
      </c>
      <c r="D31" s="12">
        <f>IF($B31="","",INDEX(Budget!$C$5:$N$34,21,$G$4))</f>
      </c>
      <c r="E31" s="12">
        <f>IF($B31="","",SUMIFS(Movimenti!$E$5:$E$5000,Movimenti!$C$5:$C$5000,$B31,Movimenti!$F$5:$F$5000,$G$4,Movimenti!$G$5:$G$5000,$C$5))</f>
      </c>
      <c r="F31" s="26">
        <f t="shared" si="0"/>
      </c>
      <c r="G31" s="27">
        <f t="shared" si="1"/>
      </c>
      <c r="H31" s="28">
        <f t="shared" si="2"/>
      </c>
    </row>
    <row r="32" spans="2:8" x14ac:dyDescent="0.3">
      <c r="B32" s="16">
        <f>IF(Budget!$A26="","",Budget!$A26)</f>
      </c>
      <c r="C32" s="17">
        <f>IF(Budget!$A26="","",Budget!$B26)</f>
      </c>
      <c r="D32" s="12">
        <f>IF($B32="","",INDEX(Budget!$C$5:$N$34,22,$G$4))</f>
      </c>
      <c r="E32" s="12">
        <f>IF($B32="","",SUMIFS(Movimenti!$E$5:$E$5000,Movimenti!$C$5:$C$5000,$B32,Movimenti!$F$5:$F$5000,$G$4,Movimenti!$G$5:$G$5000,$C$5))</f>
      </c>
      <c r="F32" s="26">
        <f t="shared" si="0"/>
      </c>
      <c r="G32" s="27">
        <f t="shared" si="1"/>
      </c>
      <c r="H32" s="28">
        <f t="shared" si="2"/>
      </c>
    </row>
    <row r="33" spans="2:8" x14ac:dyDescent="0.3">
      <c r="B33" s="16">
        <f>IF(Budget!$A27="","",Budget!$A27)</f>
      </c>
      <c r="C33" s="17">
        <f>IF(Budget!$A27="","",Budget!$B27)</f>
      </c>
      <c r="D33" s="12">
        <f>IF($B33="","",INDEX(Budget!$C$5:$N$34,23,$G$4))</f>
      </c>
      <c r="E33" s="12">
        <f>IF($B33="","",SUMIFS(Movimenti!$E$5:$E$5000,Movimenti!$C$5:$C$5000,$B33,Movimenti!$F$5:$F$5000,$G$4,Movimenti!$G$5:$G$5000,$C$5))</f>
      </c>
      <c r="F33" s="26">
        <f t="shared" si="0"/>
      </c>
      <c r="G33" s="27">
        <f t="shared" si="1"/>
      </c>
      <c r="H33" s="28">
        <f t="shared" si="2"/>
      </c>
    </row>
    <row r="34" spans="2:8" x14ac:dyDescent="0.3">
      <c r="B34" s="16">
        <f>IF(Budget!$A28="","",Budget!$A28)</f>
      </c>
      <c r="C34" s="17">
        <f>IF(Budget!$A28="","",Budget!$B28)</f>
      </c>
      <c r="D34" s="12">
        <f>IF($B34="","",INDEX(Budget!$C$5:$N$34,24,$G$4))</f>
      </c>
      <c r="E34" s="12">
        <f>IF($B34="","",SUMIFS(Movimenti!$E$5:$E$5000,Movimenti!$C$5:$C$5000,$B34,Movimenti!$F$5:$F$5000,$G$4,Movimenti!$G$5:$G$5000,$C$5))</f>
      </c>
      <c r="F34" s="26">
        <f t="shared" si="0"/>
      </c>
      <c r="G34" s="27">
        <f t="shared" si="1"/>
      </c>
      <c r="H34" s="28">
        <f t="shared" si="2"/>
      </c>
    </row>
    <row r="35" spans="2:8" x14ac:dyDescent="0.3">
      <c r="B35" s="16">
        <f>IF(Budget!$A29="","",Budget!$A29)</f>
      </c>
      <c r="C35" s="17">
        <f>IF(Budget!$A29="","",Budget!$B29)</f>
      </c>
      <c r="D35" s="12">
        <f>IF($B35="","",INDEX(Budget!$C$5:$N$34,25,$G$4))</f>
      </c>
      <c r="E35" s="12">
        <f>IF($B35="","",SUMIFS(Movimenti!$E$5:$E$5000,Movimenti!$C$5:$C$5000,$B35,Movimenti!$F$5:$F$5000,$G$4,Movimenti!$G$5:$G$5000,$C$5))</f>
      </c>
      <c r="F35" s="26">
        <f t="shared" si="0"/>
      </c>
      <c r="G35" s="27">
        <f t="shared" si="1"/>
      </c>
      <c r="H35" s="28">
        <f t="shared" si="2"/>
      </c>
    </row>
    <row r="36" spans="2:8" x14ac:dyDescent="0.3">
      <c r="B36" s="16">
        <f>IF(Budget!$A30="","",Budget!$A30)</f>
      </c>
      <c r="C36" s="17">
        <f>IF(Budget!$A30="","",Budget!$B30)</f>
      </c>
      <c r="D36" s="12">
        <f>IF($B36="","",INDEX(Budget!$C$5:$N$34,26,$G$4))</f>
      </c>
      <c r="E36" s="12">
        <f>IF($B36="","",SUMIFS(Movimenti!$E$5:$E$5000,Movimenti!$C$5:$C$5000,$B36,Movimenti!$F$5:$F$5000,$G$4,Movimenti!$G$5:$G$5000,$C$5))</f>
      </c>
      <c r="F36" s="26">
        <f t="shared" si="0"/>
      </c>
      <c r="G36" s="27">
        <f t="shared" si="1"/>
      </c>
      <c r="H36" s="28">
        <f t="shared" si="2"/>
      </c>
    </row>
    <row r="37" spans="2:8" x14ac:dyDescent="0.3">
      <c r="B37" s="16">
        <f>IF(Budget!$A31="","",Budget!$A31)</f>
      </c>
      <c r="C37" s="17">
        <f>IF(Budget!$A31="","",Budget!$B31)</f>
      </c>
      <c r="D37" s="12">
        <f>IF($B37="","",INDEX(Budget!$C$5:$N$34,27,$G$4))</f>
      </c>
      <c r="E37" s="12">
        <f>IF($B37="","",SUMIFS(Movimenti!$E$5:$E$5000,Movimenti!$C$5:$C$5000,$B37,Movimenti!$F$5:$F$5000,$G$4,Movimenti!$G$5:$G$5000,$C$5))</f>
      </c>
      <c r="F37" s="26">
        <f t="shared" si="0"/>
      </c>
      <c r="G37" s="27">
        <f t="shared" si="1"/>
      </c>
      <c r="H37" s="28">
        <f t="shared" si="2"/>
      </c>
    </row>
    <row r="38" spans="2:8" x14ac:dyDescent="0.3">
      <c r="B38" s="16">
        <f>IF(Budget!$A32="","",Budget!$A32)</f>
      </c>
      <c r="C38" s="17">
        <f>IF(Budget!$A32="","",Budget!$B32)</f>
      </c>
      <c r="D38" s="12">
        <f>IF($B38="","",INDEX(Budget!$C$5:$N$34,28,$G$4))</f>
      </c>
      <c r="E38" s="12">
        <f>IF($B38="","",SUMIFS(Movimenti!$E$5:$E$5000,Movimenti!$C$5:$C$5000,$B38,Movimenti!$F$5:$F$5000,$G$4,Movimenti!$G$5:$G$5000,$C$5))</f>
      </c>
      <c r="F38" s="26">
        <f t="shared" si="0"/>
      </c>
      <c r="G38" s="27">
        <f t="shared" si="1"/>
      </c>
      <c r="H38" s="28">
        <f t="shared" si="2"/>
      </c>
    </row>
    <row r="39" spans="2:8" x14ac:dyDescent="0.3">
      <c r="B39" s="16">
        <f>IF(Budget!$A33="","",Budget!$A33)</f>
      </c>
      <c r="C39" s="17">
        <f>IF(Budget!$A33="","",Budget!$B33)</f>
      </c>
      <c r="D39" s="12">
        <f>IF($B39="","",INDEX(Budget!$C$5:$N$34,29,$G$4))</f>
      </c>
      <c r="E39" s="12">
        <f>IF($B39="","",SUMIFS(Movimenti!$E$5:$E$5000,Movimenti!$C$5:$C$5000,$B39,Movimenti!$F$5:$F$5000,$G$4,Movimenti!$G$5:$G$5000,$C$5))</f>
      </c>
      <c r="F39" s="26">
        <f t="shared" si="0"/>
      </c>
      <c r="G39" s="27">
        <f t="shared" si="1"/>
      </c>
      <c r="H39" s="28">
        <f t="shared" si="2"/>
      </c>
    </row>
    <row r="40" spans="2:8" x14ac:dyDescent="0.3">
      <c r="B40" s="16">
        <f>IF(Budget!$A34="","",Budget!$A34)</f>
      </c>
      <c r="C40" s="17">
        <f>IF(Budget!$A34="","",Budget!$B34)</f>
      </c>
      <c r="D40" s="12">
        <f>IF($B40="","",INDEX(Budget!$C$5:$N$34,30,$G$4))</f>
      </c>
      <c r="E40" s="12">
        <f>IF($B40="","",SUMIFS(Movimenti!$E$5:$E$5000,Movimenti!$C$5:$C$5000,$B40,Movimenti!$F$5:$F$5000,$G$4,Movimenti!$G$5:$G$5000,$C$5))</f>
      </c>
      <c r="F40" s="26">
        <f t="shared" si="0"/>
      </c>
      <c r="G40" s="27">
        <f t="shared" si="1"/>
      </c>
      <c r="H40" s="28">
        <f t="shared" si="2"/>
      </c>
    </row>
    <row r="41" spans="2:8" x14ac:dyDescent="0.3">
      <c r="B41" s="29" t="inlineStr">
        <is>
          <t>TOTALE USCITE</t>
        </is>
      </c>
      <c r="C41" s="29"/>
      <c r="D41" s="13">
        <f>SUMIF($C$11:$C$40,"Spesa",$D$11:$D$40)</f>
      </c>
      <c r="E41" s="13">
        <f>SUMIF($C$11:$C$40,"Spesa",$E$11:$E$40)</f>
      </c>
      <c r="F41" s="13">
        <f>$D41-$E41</f>
      </c>
      <c r="G41" s="30">
        <f>IF($D41=0,"",$E41/$D41)</f>
      </c>
      <c r="H41" s="29"/>
    </row>
    <row r="42" spans="2:8" x14ac:dyDescent="0.3">
      <c r="B42" s="4"/>
      <c r="C42" s="4"/>
      <c r="D42" s="4"/>
      <c r="E42" s="4"/>
      <c r="F42" s="4"/>
      <c r="G42" s="4"/>
      <c r="H42" s="4"/>
    </row>
    <row r="43" spans="2:8" x14ac:dyDescent="0.3">
      <c r="B43" s="3"/>
      <c r="C43" s="4"/>
      <c r="D43" s="4"/>
      <c r="E43" s="4"/>
      <c r="F43" s="4"/>
      <c r="G43" s="4"/>
      <c r="H43" s="4"/>
    </row>
  </sheetData>
  <conditionalFormatting sqref="E11:E40">
    <cfRule type="dataBar" priority="8">
      <dataBar>
        <cfvo type="num" val="0"/>
        <cfvo type="max"/>
        <color rgb="FFE9A45C"/>
      </dataBar>
      <extLst>
        <ext xmlns:x14="http://schemas.microsoft.com/office/spreadsheetml/2009/9/main" uri="{B025F937-C7B1-47D3-B67F-A62EFF666E3E}">
          <x14:id>{88633EB1-4D15-4046-97ED-2C1497C32B3C}</x14:id>
        </ext>
      </extLst>
    </cfRule>
  </conditionalFormatting>
  <conditionalFormatting sqref="F11:F41">
    <cfRule type="cellIs" dxfId="6" priority="2" operator="lessThan">
      <formula>0</formula>
    </cfRule>
    <cfRule type="cellIs" dxfId="5" priority="3" operator="greaterThanOrEqual">
      <formula>0</formula>
    </cfRule>
  </conditionalFormatting>
  <conditionalFormatting sqref="H11:H40">
    <cfRule type="expression" dxfId="4" priority="4">
      <formula>EXACT($H11,"Sforato")</formula>
    </cfRule>
    <cfRule type="expression" dxfId="3" priority="5">
      <formula>EXACT($H11,"Sotto le attese")</formula>
    </cfRule>
    <cfRule type="expression" dxfId="2" priority="6">
      <formula>EXACT($H11,"Attenzione")</formula>
    </cfRule>
    <cfRule type="expression" dxfId="1" priority="7">
      <formula>EXACT($H11,"OK")</formula>
    </cfRule>
  </conditionalFormatting>
  <dataValidations count="1">
    <dataValidation type="list" sqref="C4" xr:uid="{00000000-0002-0000-0300-000000000000}">
      <formula1>Mesi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633EB1-4D15-4046-97ED-2C1497C32B3C}">
            <x14:dataBar axisPosition="none">
              <x14:cfvo type="num">
                <xm:f>0</xm:f>
              </x14:cfvo>
              <x14:cfvo type="max"/>
              <x14:negativeFillColor rgb="FFE9A45C"/>
            </x14:dataBar>
          </x14:cfRule>
          <xm:sqref>E11:E40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showGridLines="0" topLeftCell="A8" zoomScale="85" zoomScaleNormal="85" workbookViewId="0">
      <selection activeCell="J21" sqref="J21"/>
    </sheetView>
  </sheetViews>
  <sheetFormatPr defaultColWidth="8.5546875" defaultRowHeight="14.4" x14ac:dyDescent="0.3"/>
  <cols>
    <col min="1" max="1" width="3" customWidth="1"/>
    <col min="2" max="2" width="30" style="31" customWidth="1"/>
    <col min="3" max="3" width="95" customWidth="1"/>
  </cols>
  <sheetData>
    <row r="1" spans="1:3" x14ac:dyDescent="0.3">
      <c r="A1" s="4"/>
      <c r="B1" s="4"/>
      <c r="C1" s="4"/>
    </row>
    <row r="2" spans="1:3" ht="21" customHeight="1" x14ac:dyDescent="0.4">
      <c r="A2" s="4"/>
      <c r="B2" s="32" t="inlineStr">
        <is>
          <t>BUDGET PERSONALE — Actual vs Forecast</t>
        </is>
      </c>
      <c r="C2" s="4"/>
    </row>
    <row r="3" spans="1:3" x14ac:dyDescent="0.3">
      <c r="A3" s="4"/>
      <c r="B3" s="4"/>
      <c r="C3" s="4"/>
    </row>
    <row r="4" spans="1:3" ht="19.5" customHeight="1" x14ac:dyDescent="0.3">
      <c r="A4" s="4"/>
      <c r="B4" s="33" t="inlineStr">
        <is>
          <t>COME FUNZIONA</t>
        </is>
      </c>
      <c r="C4" s="9"/>
    </row>
    <row r="5" spans="1:3" ht="30" customHeight="1" x14ac:dyDescent="0.3">
      <c r="A5" s="4"/>
      <c r="B5" s="34" t="inlineStr">
        <is>
          <t>1. Impostazioni</t>
        </is>
      </c>
      <c r="C5" s="35" t="inlineStr">
        <is>
          <t>Il punto di partenza. Qui definisci l'anno, le tue categorie con il budget mensile e l'elenco delle spese fisse ricorrenti. Tutto il resto del file si aggiorna da solo.</t>
        </is>
      </c>
    </row>
    <row r="6" spans="1:3" ht="30" customHeight="1" x14ac:dyDescent="0.3">
      <c r="A6" s="4"/>
      <c r="B6" s="34" t="inlineStr">
        <is>
          <t>2. Movimenti</t>
        </is>
      </c>
      <c r="C6" s="35" t="inlineStr">
        <is>
          <t>Il foglio da aggiornare ogni giorno (anche dal telefono). Una riga per ogni spesa o entrata: data, categoria, descrizione, importo. Nient'altro da fare.</t>
        </is>
      </c>
    </row>
    <row r="7" spans="1:3" ht="30" customHeight="1" x14ac:dyDescent="0.3">
      <c r="A7" s="4"/>
      <c r="B7" s="34" t="inlineStr">
        <is>
          <t>3. Budget</t>
        </is>
      </c>
      <c r="C7" s="35" t="inlineStr">
        <is>
          <t>Il tuo forecast: budget per categoria per ognuno dei 12 mesi. È già precompilato con i valori delle Impostazioni; puoi sovrascrivere un singolo mese (es. dicembre con più regali) scrivendoci sopra.</t>
        </is>
      </c>
    </row>
    <row r="8" spans="1:3" ht="30" customHeight="1" x14ac:dyDescent="0.3">
      <c r="A8" s="4"/>
      <c r="B8" s="34" t="inlineStr">
        <is>
          <t>4. Riepilogo</t>
        </is>
      </c>
      <c r="C8" s="35" t="inlineStr">
        <is>
          <t>Il check mensile: scegli il mese dal menù a tendina e vedi budget vs speso effettivo per ogni categoria, con scostamento e semaforo.</t>
        </is>
      </c>
    </row>
    <row r="9" spans="1:3" ht="30" customHeight="1" x14ac:dyDescent="0.3">
      <c r="A9" s="4"/>
      <c r="B9" s="34" t="inlineStr">
        <is>
          <t>5. Annuale</t>
        </is>
      </c>
      <c r="C9" s="35" t="inlineStr">
        <is>
          <t>Vista d'insieme dei 12 mesi: entrate, uscite e risparmio, previsti ed effettivi, con grafico.</t>
        </is>
      </c>
    </row>
    <row r="10" spans="1:3" x14ac:dyDescent="0.3">
      <c r="A10" s="4"/>
      <c r="B10" s="4"/>
      <c r="C10" s="4"/>
    </row>
    <row r="11" spans="1:3" ht="19.5" customHeight="1" x14ac:dyDescent="0.3">
      <c r="A11" s="4"/>
      <c r="B11" s="33" t="inlineStr">
        <is>
          <t>REGOLE D'ORO (poche ma importanti)</t>
        </is>
      </c>
      <c r="C11" s="9"/>
    </row>
    <row r="12" spans="1:3" ht="30" customHeight="1" x14ac:dyDescent="0.3">
      <c r="A12" s="4"/>
      <c r="B12" s="34" t="inlineStr">
        <is>
          <t>Importi sempre positivi</t>
        </is>
      </c>
      <c r="C12" s="35" t="inlineStr">
        <is>
          <t>Non usare il segno meno. Il file capisce da solo se è un'entrata o un'uscita in base al Tipo della categoria.</t>
        </is>
      </c>
    </row>
    <row r="13" spans="1:3" ht="30" customHeight="1" x14ac:dyDescent="0.3">
      <c r="A13" s="4"/>
      <c r="B13" s="34" t="inlineStr">
        <is>
          <t>Usa il menù a tendina</t>
        </is>
      </c>
      <c r="C13" s="35" t="inlineStr">
        <is>
          <t>Nella colonna Categoria scegli sempre dall'elenco: se scrivi a mano un nome diverso, quella spesa non finisce in nessun budget.</t>
        </is>
      </c>
    </row>
    <row r="14" spans="1:3" ht="30" customHeight="1" x14ac:dyDescent="0.3">
      <c r="A14" s="4"/>
      <c r="B14" s="34" t="inlineStr">
        <is>
          <t>Nuova categoria?</t>
        </is>
      </c>
      <c r="C14" s="35" t="inlineStr">
        <is>
          <t>Aggiungila nel foglio Impostazioni (nelle righe vuote sotto le altre) e comparirà automaticamente ovunque.</t>
        </is>
      </c>
    </row>
    <row r="15" spans="1:3" ht="30" customHeight="1" x14ac:dyDescent="0.3">
      <c r="A15" s="4"/>
      <c r="B15" s="34" t="inlineStr">
        <is>
          <t>Controllo rapido</t>
        </is>
      </c>
      <c r="C15" s="35" t="inlineStr">
        <is>
          <t>Nel foglio Movimenti la colonna Tipo si colora di rosso se hai scritto una categoria che non esiste nelle Impostazioni.</t>
        </is>
      </c>
    </row>
    <row r="16" spans="1:3" x14ac:dyDescent="0.3">
      <c r="A16" s="4"/>
      <c r="B16" s="4"/>
      <c r="C16" s="4"/>
    </row>
    <row r="17" spans="1:3" ht="19.5" customHeight="1" x14ac:dyDescent="0.3">
      <c r="A17" s="4"/>
      <c r="B17" s="33" t="inlineStr">
        <is>
          <t>LEGENDA COLORI</t>
        </is>
      </c>
      <c r="C17" s="9"/>
    </row>
    <row r="18" spans="1:3" ht="30" customHeight="1" x14ac:dyDescent="0.3">
      <c r="A18" s="4"/>
      <c r="B18" s="36" t="inlineStr">
        <is>
          <t>Celle crema</t>
        </is>
      </c>
      <c r="C18" s="35" t="inlineStr">
        <is>
          <t>Sono le uniche celle che devi compilare tu.</t>
        </is>
      </c>
    </row>
    <row r="19" spans="1:3" ht="30" customHeight="1" x14ac:dyDescent="0.3">
      <c r="A19" s="4"/>
      <c r="B19" s="34" t="inlineStr">
        <is>
          <t>Testo ambra</t>
        </is>
      </c>
      <c r="C19" s="35" t="inlineStr">
        <is>
          <t>Valore inserito a mano (modificabile).</t>
        </is>
      </c>
    </row>
    <row r="20" spans="1:3" ht="30" customHeight="1" x14ac:dyDescent="0.3">
      <c r="A20" s="4"/>
      <c r="B20" s="34" t="inlineStr">
        <is>
          <t>Testo scuro</t>
        </is>
      </c>
      <c r="C20" s="35" t="inlineStr">
        <is>
          <t>Formula automatica: meglio non toccarla.</t>
        </is>
      </c>
    </row>
    <row r="21" spans="1:3" ht="30" customHeight="1" x14ac:dyDescent="0.3">
      <c r="A21" s="4"/>
      <c r="B21" s="34" t="inlineStr">
        <is>
          <t>Sfondo sabbia</t>
        </is>
      </c>
      <c r="C21" s="35" t="inlineStr">
        <is>
          <t>Colonne di servizio calcolate in automatico (mese, anno, tipo).</t>
        </is>
      </c>
    </row>
    <row r="22" spans="1:3" x14ac:dyDescent="0.3">
      <c r="A22" s="4"/>
      <c r="B22" s="4"/>
      <c r="C22" s="4"/>
    </row>
    <row r="23" spans="1:3" ht="19.5" customHeight="1" x14ac:dyDescent="0.3">
      <c r="A23" s="4"/>
      <c r="B23" s="33" t="inlineStr">
        <is>
          <t>AGGIORNARLO DAL TELEFONO</t>
        </is>
      </c>
      <c r="C23" s="9"/>
    </row>
    <row r="24" spans="1:3" ht="30" customHeight="1" x14ac:dyDescent="0.3">
      <c r="A24" s="4"/>
      <c r="B24" s="34" t="inlineStr">
        <is>
          <t>Come fare</t>
        </is>
      </c>
      <c r="C24" s="35" t="inlineStr">
        <is>
          <t>Salva il file su OneDrive (o Google Drive) e aprilo con l'app Excel dal telefono: le tendine, le formule e il riepilogo funzionano allo stesso modo.</t>
        </is>
      </c>
    </row>
    <row r="25" spans="1:3" ht="30" customHeight="1" x14ac:dyDescent="0.3">
      <c r="A25" s="4"/>
      <c r="B25" s="34" t="inlineStr">
        <is>
          <t>Consiglio pratico</t>
        </is>
      </c>
      <c r="C25" s="35" t="inlineStr">
        <is>
          <t>Sul telefono vai direttamente sul foglio Movimenti, tocca la prima riga vuota e inserisci solo le 4 colonne bianche (Data, Categoria, Descrizione, Importo). 15 secondi a spesa.</t>
        </is>
      </c>
    </row>
    <row r="26" spans="1:3" ht="30" customHeight="1" x14ac:dyDescent="0.3">
      <c r="A26" s="4"/>
      <c r="B26" s="34" t="inlineStr">
        <is>
          <t>Alternativa</t>
        </is>
      </c>
      <c r="C26" s="35" t="inlineStr">
        <is>
          <t>Se preferisci, carica il file su Google Drive e aprilo con Google Fogli: le formule usate qui sono tutte compatibili.</t>
        </is>
      </c>
    </row>
    <row r="27" spans="1:3" x14ac:dyDescent="0.3">
      <c r="A27" s="4"/>
      <c r="B27" s="4"/>
      <c r="C27" s="4"/>
    </row>
    <row r="28" spans="1:3" ht="19.5" customHeight="1" x14ac:dyDescent="0.3">
      <c r="A28" s="4"/>
      <c r="B28" s="33" t="inlineStr">
        <is>
          <t>IL CHECK DI FINE MESE</t>
        </is>
      </c>
      <c r="C28" s="9"/>
    </row>
    <row r="29" spans="1:3" ht="30" customHeight="1" x14ac:dyDescent="0.3">
      <c r="A29" s="4"/>
      <c r="B29" s="34" t="inlineStr">
        <is>
          <t>In 5 minuti</t>
        </is>
      </c>
      <c r="C29" s="35" t="inlineStr">
        <is>
          <t>Apri Riepilogo, seleziona il mese, guarda la colonna Scostamento: valori negativi (rossi) = hai speso più del budget. Poi decidi se tagliare la spesa o alzare il budget del mese dopo nel foglio Budget.</t>
        </is>
      </c>
    </row>
    <row r="30" spans="1:3" x14ac:dyDescent="0.3">
      <c r="A30" s="4"/>
      <c r="B30" s="4"/>
      <c r="C30" s="4"/>
    </row>
    <row r="31" spans="1:3" x14ac:dyDescent="0.3">
      <c r="A31" s="4"/>
      <c r="B31" s="37" t="inlineStr">
        <is>
          <t>Modello creato su misura — i numeri presenti sono esempi da sostituire con i tuoi.</t>
        </is>
      </c>
      <c r="C31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9"/>
  <sheetViews>
    <sheetView showGridLines="0" zoomScaleNormal="100" workbookViewId="0">
      <selection activeCell="K31" sqref="K31"/>
    </sheetView>
  </sheetViews>
  <sheetFormatPr defaultColWidth="8.5546875" defaultRowHeight="14.4" x14ac:dyDescent="0.3"/>
  <cols>
    <col min="2" max="2" width="14" customWidth="1"/>
    <col min="3" max="3" width="6" customWidth="1"/>
    <col min="4" max="7" width="16" customWidth="1"/>
    <col min="8" max="9" width="17" customWidth="1"/>
    <col min="10" max="10" width="18.6640625" customWidth="1"/>
  </cols>
  <sheetData>
    <row r="2" spans="2:10" ht="21.75" customHeight="1" x14ac:dyDescent="0.3">
      <c r="B2" s="60" t="inlineStr">
        <is>
          <t>ANDAMENTO ANNUALE — previsto vs effettivo</t>
        </is>
      </c>
      <c r="C2" s="60"/>
      <c r="D2" s="60"/>
      <c r="E2" s="60"/>
      <c r="F2" s="60"/>
      <c r="G2" s="60"/>
      <c r="H2" s="60"/>
      <c r="I2" s="60"/>
      <c r="J2" s="60"/>
    </row>
    <row r="3" spans="2:10" s="46" customFormat="1" x14ac:dyDescent="0.3">
      <c r="B3" s="44" t="inlineStr">
        <is>
          <t>Anno</t>
        </is>
      </c>
      <c r="C3" s="43">
        <f>Impostazioni!$C$4</f>
      </c>
      <c r="D3" s="45"/>
      <c r="E3" s="45"/>
      <c r="F3" s="45"/>
      <c r="G3" s="45"/>
      <c r="H3" s="45"/>
      <c r="I3" s="45"/>
      <c r="J3" s="45"/>
    </row>
    <row r="4" spans="2:10" ht="4.2" customHeight="1" x14ac:dyDescent="0.3">
      <c r="B4" s="4"/>
      <c r="C4" s="4"/>
      <c r="D4" s="4"/>
      <c r="E4" s="4"/>
      <c r="F4" s="4"/>
      <c r="G4" s="4"/>
      <c r="H4" s="4"/>
      <c r="I4" s="4"/>
      <c r="J4" s="4"/>
    </row>
    <row r="5" spans="2:10" ht="31.5" customHeight="1" x14ac:dyDescent="0.3">
      <c r="B5" s="39" t="inlineStr">
        <is>
          <t>Mese</t>
        </is>
      </c>
      <c r="C5" s="39" t="inlineStr">
        <is>
          <t>n.</t>
        </is>
      </c>
      <c r="D5" s="39" t="inlineStr">
        <is>
          <t>Entrate previste</t>
        </is>
      </c>
      <c r="E5" s="39" t="inlineStr">
        <is>
          <t>Entrate effettive</t>
        </is>
      </c>
      <c r="F5" s="39" t="inlineStr">
        <is>
          <t>Uscite previste</t>
        </is>
      </c>
      <c r="G5" s="39" t="inlineStr">
        <is>
          <t>Uscite effettive</t>
        </is>
      </c>
      <c r="H5" s="39" t="inlineStr">
        <is>
          <t>Risparmio previsto</t>
        </is>
      </c>
      <c r="I5" s="39" t="inlineStr">
        <is>
          <t>Risparmio effettivo</t>
        </is>
      </c>
      <c r="J5" s="39" t="inlineStr">
        <is>
          <t>Scostamento uscite</t>
        </is>
      </c>
    </row>
    <row r="6" spans="2:10" x14ac:dyDescent="0.3">
      <c r="B6" s="14" t="inlineStr">
        <is>
          <t>Gennaio</t>
        </is>
      </c>
      <c r="C6" s="38">
        <v>1</v>
      </c>
      <c r="D6" s="12">
        <f>SUMIF(Budget!$B$5:$B$34,"Entrata",INDEX(Budget!$C$5:$N$34,0,$C6))</f>
      </c>
      <c r="E6" s="12">
        <f>SUMIFS(Movimenti!$E$5:$E$5000,Movimenti!$F$5:$F$5000,$C6,Movimenti!$G$5:$G$5000,$C$3,Movimenti!$H$5:$H$5000,"Entrata")</f>
      </c>
      <c r="F6" s="12">
        <f>SUMIF(Budget!$B$5:$B$34,"Spesa",INDEX(Budget!$C$5:$N$34,0,$C6))</f>
      </c>
      <c r="G6" s="12">
        <f>SUMIFS(Movimenti!$E$5:$E$5000,Movimenti!$F$5:$F$5000,$C6,Movimenti!$G$5:$G$5000,$C$3,Movimenti!$H$5:$H$5000,"Spesa")</f>
      </c>
      <c r="H6" s="26">
        <f t="shared" ref="H6:H17" si="0">$D6-$F6</f>
      </c>
      <c r="I6" s="26">
        <f t="shared" ref="I6:I17" si="1">$E6-$G6</f>
      </c>
      <c r="J6" s="26">
        <f t="shared" ref="J6:J17" si="2">$F6-$G6</f>
      </c>
    </row>
    <row r="7" spans="2:10" x14ac:dyDescent="0.3">
      <c r="B7" s="14" t="inlineStr">
        <is>
          <t>Febbraio</t>
        </is>
      </c>
      <c r="C7" s="38">
        <v>2</v>
      </c>
      <c r="D7" s="12">
        <f>SUMIF(Budget!$B$5:$B$34,"Entrata",INDEX(Budget!$C$5:$N$34,0,$C7))</f>
      </c>
      <c r="E7" s="12">
        <f>SUMIFS(Movimenti!$E$5:$E$5000,Movimenti!$F$5:$F$5000,$C7,Movimenti!$G$5:$G$5000,$C$3,Movimenti!$H$5:$H$5000,"Entrata")</f>
      </c>
      <c r="F7" s="12">
        <f>SUMIF(Budget!$B$5:$B$34,"Spesa",INDEX(Budget!$C$5:$N$34,0,$C7))</f>
      </c>
      <c r="G7" s="12">
        <f>SUMIFS(Movimenti!$E$5:$E$5000,Movimenti!$F$5:$F$5000,$C7,Movimenti!$G$5:$G$5000,$C$3,Movimenti!$H$5:$H$5000,"Spesa")</f>
      </c>
      <c r="H7" s="26">
        <f t="shared" si="0"/>
      </c>
      <c r="I7" s="26">
        <f t="shared" si="1"/>
      </c>
      <c r="J7" s="26">
        <f t="shared" si="2"/>
      </c>
    </row>
    <row r="8" spans="2:10" x14ac:dyDescent="0.3">
      <c r="B8" s="14" t="inlineStr">
        <is>
          <t>Marzo</t>
        </is>
      </c>
      <c r="C8" s="38">
        <v>3</v>
      </c>
      <c r="D8" s="12">
        <f>SUMIF(Budget!$B$5:$B$34,"Entrata",INDEX(Budget!$C$5:$N$34,0,$C8))</f>
      </c>
      <c r="E8" s="12">
        <f>SUMIFS(Movimenti!$E$5:$E$5000,Movimenti!$F$5:$F$5000,$C8,Movimenti!$G$5:$G$5000,$C$3,Movimenti!$H$5:$H$5000,"Entrata")</f>
      </c>
      <c r="F8" s="12">
        <f>SUMIF(Budget!$B$5:$B$34,"Spesa",INDEX(Budget!$C$5:$N$34,0,$C8))</f>
      </c>
      <c r="G8" s="12">
        <f>SUMIFS(Movimenti!$E$5:$E$5000,Movimenti!$F$5:$F$5000,$C8,Movimenti!$G$5:$G$5000,$C$3,Movimenti!$H$5:$H$5000,"Spesa")</f>
      </c>
      <c r="H8" s="26">
        <f t="shared" si="0"/>
      </c>
      <c r="I8" s="26">
        <f t="shared" si="1"/>
      </c>
      <c r="J8" s="26">
        <f t="shared" si="2"/>
      </c>
    </row>
    <row r="9" spans="2:10" x14ac:dyDescent="0.3">
      <c r="B9" s="14" t="inlineStr">
        <is>
          <t>Aprile</t>
        </is>
      </c>
      <c r="C9" s="38">
        <v>4</v>
      </c>
      <c r="D9" s="12">
        <f>SUMIF(Budget!$B$5:$B$34,"Entrata",INDEX(Budget!$C$5:$N$34,0,$C9))</f>
      </c>
      <c r="E9" s="12">
        <f>SUMIFS(Movimenti!$E$5:$E$5000,Movimenti!$F$5:$F$5000,$C9,Movimenti!$G$5:$G$5000,$C$3,Movimenti!$H$5:$H$5000,"Entrata")</f>
      </c>
      <c r="F9" s="12">
        <f>SUMIF(Budget!$B$5:$B$34,"Spesa",INDEX(Budget!$C$5:$N$34,0,$C9))</f>
      </c>
      <c r="G9" s="12">
        <f>SUMIFS(Movimenti!$E$5:$E$5000,Movimenti!$F$5:$F$5000,$C9,Movimenti!$G$5:$G$5000,$C$3,Movimenti!$H$5:$H$5000,"Spesa")</f>
      </c>
      <c r="H9" s="26">
        <f t="shared" si="0"/>
      </c>
      <c r="I9" s="26">
        <f t="shared" si="1"/>
      </c>
      <c r="J9" s="26">
        <f t="shared" si="2"/>
      </c>
    </row>
    <row r="10" spans="2:10" x14ac:dyDescent="0.3">
      <c r="B10" s="14" t="inlineStr">
        <is>
          <t>Maggio</t>
        </is>
      </c>
      <c r="C10" s="38">
        <v>5</v>
      </c>
      <c r="D10" s="12">
        <f>SUMIF(Budget!$B$5:$B$34,"Entrata",INDEX(Budget!$C$5:$N$34,0,$C10))</f>
      </c>
      <c r="E10" s="12">
        <f>SUMIFS(Movimenti!$E$5:$E$5000,Movimenti!$F$5:$F$5000,$C10,Movimenti!$G$5:$G$5000,$C$3,Movimenti!$H$5:$H$5000,"Entrata")</f>
      </c>
      <c r="F10" s="12">
        <f>SUMIF(Budget!$B$5:$B$34,"Spesa",INDEX(Budget!$C$5:$N$34,0,$C10))</f>
      </c>
      <c r="G10" s="12">
        <f>SUMIFS(Movimenti!$E$5:$E$5000,Movimenti!$F$5:$F$5000,$C10,Movimenti!$G$5:$G$5000,$C$3,Movimenti!$H$5:$H$5000,"Spesa")</f>
      </c>
      <c r="H10" s="26">
        <f t="shared" si="0"/>
      </c>
      <c r="I10" s="26">
        <f t="shared" si="1"/>
      </c>
      <c r="J10" s="26">
        <f t="shared" si="2"/>
      </c>
    </row>
    <row r="11" spans="2:10" x14ac:dyDescent="0.3">
      <c r="B11" s="14" t="inlineStr">
        <is>
          <t>Giugno</t>
        </is>
      </c>
      <c r="C11" s="38">
        <v>6</v>
      </c>
      <c r="D11" s="12">
        <f>SUMIF(Budget!$B$5:$B$34,"Entrata",INDEX(Budget!$C$5:$N$34,0,$C11))</f>
      </c>
      <c r="E11" s="12">
        <f>SUMIFS(Movimenti!$E$5:$E$5000,Movimenti!$F$5:$F$5000,$C11,Movimenti!$G$5:$G$5000,$C$3,Movimenti!$H$5:$H$5000,"Entrata")</f>
      </c>
      <c r="F11" s="12">
        <f>SUMIF(Budget!$B$5:$B$34,"Spesa",INDEX(Budget!$C$5:$N$34,0,$C11))</f>
      </c>
      <c r="G11" s="12">
        <f>SUMIFS(Movimenti!$E$5:$E$5000,Movimenti!$F$5:$F$5000,$C11,Movimenti!$G$5:$G$5000,$C$3,Movimenti!$H$5:$H$5000,"Spesa")</f>
      </c>
      <c r="H11" s="26">
        <f t="shared" si="0"/>
      </c>
      <c r="I11" s="26">
        <f t="shared" si="1"/>
      </c>
      <c r="J11" s="26">
        <f t="shared" si="2"/>
      </c>
    </row>
    <row r="12" spans="2:10" x14ac:dyDescent="0.3">
      <c r="B12" s="14" t="inlineStr">
        <is>
          <t>Luglio</t>
        </is>
      </c>
      <c r="C12" s="38">
        <v>7</v>
      </c>
      <c r="D12" s="12">
        <f>SUMIF(Budget!$B$5:$B$34,"Entrata",INDEX(Budget!$C$5:$N$34,0,$C12))</f>
      </c>
      <c r="E12" s="12">
        <f>SUMIFS(Movimenti!$E$5:$E$5000,Movimenti!$F$5:$F$5000,$C12,Movimenti!$G$5:$G$5000,$C$3,Movimenti!$H$5:$H$5000,"Entrata")</f>
      </c>
      <c r="F12" s="12">
        <f>SUMIF(Budget!$B$5:$B$34,"Spesa",INDEX(Budget!$C$5:$N$34,0,$C12))</f>
      </c>
      <c r="G12" s="12">
        <f>SUMIFS(Movimenti!$E$5:$E$5000,Movimenti!$F$5:$F$5000,$C12,Movimenti!$G$5:$G$5000,$C$3,Movimenti!$H$5:$H$5000,"Spesa")</f>
      </c>
      <c r="H12" s="26">
        <f t="shared" si="0"/>
      </c>
      <c r="I12" s="26">
        <f t="shared" si="1"/>
      </c>
      <c r="J12" s="26">
        <f t="shared" si="2"/>
      </c>
    </row>
    <row r="13" spans="2:10" x14ac:dyDescent="0.3">
      <c r="B13" s="14" t="inlineStr">
        <is>
          <t>Agosto</t>
        </is>
      </c>
      <c r="C13" s="38">
        <v>8</v>
      </c>
      <c r="D13" s="12">
        <f>SUMIF(Budget!$B$5:$B$34,"Entrata",INDEX(Budget!$C$5:$N$34,0,$C13))</f>
      </c>
      <c r="E13" s="12">
        <f>SUMIFS(Movimenti!$E$5:$E$5000,Movimenti!$F$5:$F$5000,$C13,Movimenti!$G$5:$G$5000,$C$3,Movimenti!$H$5:$H$5000,"Entrata")</f>
      </c>
      <c r="F13" s="12">
        <f>SUMIF(Budget!$B$5:$B$34,"Spesa",INDEX(Budget!$C$5:$N$34,0,$C13))</f>
      </c>
      <c r="G13" s="12">
        <f>SUMIFS(Movimenti!$E$5:$E$5000,Movimenti!$F$5:$F$5000,$C13,Movimenti!$G$5:$G$5000,$C$3,Movimenti!$H$5:$H$5000,"Spesa")</f>
      </c>
      <c r="H13" s="26">
        <f t="shared" si="0"/>
      </c>
      <c r="I13" s="26">
        <f t="shared" si="1"/>
      </c>
      <c r="J13" s="26">
        <f t="shared" si="2"/>
      </c>
    </row>
    <row r="14" spans="2:10" x14ac:dyDescent="0.3">
      <c r="B14" s="14" t="inlineStr">
        <is>
          <t>Settembre</t>
        </is>
      </c>
      <c r="C14" s="38">
        <v>9</v>
      </c>
      <c r="D14" s="12">
        <f>SUMIF(Budget!$B$5:$B$34,"Entrata",INDEX(Budget!$C$5:$N$34,0,$C14))</f>
      </c>
      <c r="E14" s="12">
        <f>SUMIFS(Movimenti!$E$5:$E$5000,Movimenti!$F$5:$F$5000,$C14,Movimenti!$G$5:$G$5000,$C$3,Movimenti!$H$5:$H$5000,"Entrata")</f>
      </c>
      <c r="F14" s="12">
        <f>SUMIF(Budget!$B$5:$B$34,"Spesa",INDEX(Budget!$C$5:$N$34,0,$C14))</f>
      </c>
      <c r="G14" s="12">
        <f>SUMIFS(Movimenti!$E$5:$E$5000,Movimenti!$F$5:$F$5000,$C14,Movimenti!$G$5:$G$5000,$C$3,Movimenti!$H$5:$H$5000,"Spesa")</f>
      </c>
      <c r="H14" s="26">
        <f t="shared" si="0"/>
      </c>
      <c r="I14" s="26">
        <f t="shared" si="1"/>
      </c>
      <c r="J14" s="26">
        <f t="shared" si="2"/>
      </c>
    </row>
    <row r="15" spans="2:10" x14ac:dyDescent="0.3">
      <c r="B15" s="14" t="inlineStr">
        <is>
          <t>Ottobre</t>
        </is>
      </c>
      <c r="C15" s="38">
        <v>10</v>
      </c>
      <c r="D15" s="12">
        <f>SUMIF(Budget!$B$5:$B$34,"Entrata",INDEX(Budget!$C$5:$N$34,0,$C15))</f>
      </c>
      <c r="E15" s="12">
        <f>SUMIFS(Movimenti!$E$5:$E$5000,Movimenti!$F$5:$F$5000,$C15,Movimenti!$G$5:$G$5000,$C$3,Movimenti!$H$5:$H$5000,"Entrata")</f>
      </c>
      <c r="F15" s="12">
        <f>SUMIF(Budget!$B$5:$B$34,"Spesa",INDEX(Budget!$C$5:$N$34,0,$C15))</f>
      </c>
      <c r="G15" s="12">
        <f>SUMIFS(Movimenti!$E$5:$E$5000,Movimenti!$F$5:$F$5000,$C15,Movimenti!$G$5:$G$5000,$C$3,Movimenti!$H$5:$H$5000,"Spesa")</f>
      </c>
      <c r="H15" s="26">
        <f t="shared" si="0"/>
      </c>
      <c r="I15" s="26">
        <f t="shared" si="1"/>
      </c>
      <c r="J15" s="26">
        <f t="shared" si="2"/>
      </c>
    </row>
    <row r="16" spans="2:10" x14ac:dyDescent="0.3">
      <c r="B16" s="14" t="inlineStr">
        <is>
          <t>Novembre</t>
        </is>
      </c>
      <c r="C16" s="38">
        <v>11</v>
      </c>
      <c r="D16" s="12">
        <f>SUMIF(Budget!$B$5:$B$34,"Entrata",INDEX(Budget!$C$5:$N$34,0,$C16))</f>
      </c>
      <c r="E16" s="12">
        <f>SUMIFS(Movimenti!$E$5:$E$5000,Movimenti!$F$5:$F$5000,$C16,Movimenti!$G$5:$G$5000,$C$3,Movimenti!$H$5:$H$5000,"Entrata")</f>
      </c>
      <c r="F16" s="12">
        <f>SUMIF(Budget!$B$5:$B$34,"Spesa",INDEX(Budget!$C$5:$N$34,0,$C16))</f>
      </c>
      <c r="G16" s="12">
        <f>SUMIFS(Movimenti!$E$5:$E$5000,Movimenti!$F$5:$F$5000,$C16,Movimenti!$G$5:$G$5000,$C$3,Movimenti!$H$5:$H$5000,"Spesa")</f>
      </c>
      <c r="H16" s="26">
        <f t="shared" si="0"/>
      </c>
      <c r="I16" s="26">
        <f t="shared" si="1"/>
      </c>
      <c r="J16" s="26">
        <f t="shared" si="2"/>
      </c>
    </row>
    <row r="17" spans="2:10" x14ac:dyDescent="0.3">
      <c r="B17" s="14" t="inlineStr">
        <is>
          <t>Dicembre</t>
        </is>
      </c>
      <c r="C17" s="38">
        <v>12</v>
      </c>
      <c r="D17" s="12">
        <f>SUMIF(Budget!$B$5:$B$34,"Entrata",INDEX(Budget!$C$5:$N$34,0,$C17))</f>
      </c>
      <c r="E17" s="12">
        <f>SUMIFS(Movimenti!$E$5:$E$5000,Movimenti!$F$5:$F$5000,$C17,Movimenti!$G$5:$G$5000,$C$3,Movimenti!$H$5:$H$5000,"Entrata")</f>
      </c>
      <c r="F17" s="12">
        <f>SUMIF(Budget!$B$5:$B$34,"Spesa",INDEX(Budget!$C$5:$N$34,0,$C17))</f>
      </c>
      <c r="G17" s="12">
        <f>SUMIFS(Movimenti!$E$5:$E$5000,Movimenti!$F$5:$F$5000,$C17,Movimenti!$G$5:$G$5000,$C$3,Movimenti!$H$5:$H$5000,"Spesa")</f>
      </c>
      <c r="H17" s="26">
        <f t="shared" si="0"/>
      </c>
      <c r="I17" s="26">
        <f t="shared" si="1"/>
      </c>
      <c r="J17" s="26">
        <f t="shared" si="2"/>
      </c>
    </row>
    <row r="18" spans="2:10" x14ac:dyDescent="0.3">
      <c r="B18" s="18" t="inlineStr">
        <is>
          <t>TOTALE ANNO</t>
        </is>
      </c>
      <c r="C18" s="19"/>
      <c r="D18" s="13">
        <f t="shared" ref="D18:J18" si="3">SUM(D6:D17)</f>
      </c>
      <c r="E18" s="13">
        <f t="shared" si="3"/>
      </c>
      <c r="F18" s="13">
        <f t="shared" si="3"/>
      </c>
      <c r="G18" s="13">
        <f t="shared" si="3"/>
      </c>
      <c r="H18" s="13">
        <f t="shared" si="3"/>
      </c>
      <c r="I18" s="13">
        <f t="shared" si="3"/>
      </c>
      <c r="J18" s="13">
        <f t="shared" si="3"/>
      </c>
    </row>
    <row r="19" spans="2:10" x14ac:dyDescent="0.3">
      <c r="B19" s="4"/>
      <c r="C19" s="4"/>
      <c r="D19" s="4"/>
      <c r="E19" s="4"/>
      <c r="F19" s="4"/>
      <c r="G19" s="4"/>
      <c r="H19" s="4"/>
      <c r="I19" s="4"/>
      <c r="J19" s="4"/>
    </row>
  </sheetData>
  <mergeCells count="1">
    <mergeCell ref="B2:J2"/>
  </mergeCells>
  <conditionalFormatting sqref="I6:J17">
    <cfRule type="cellIs" dxfId="0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Movimenti</vt:lpstr>
      <vt:lpstr>Impostazioni</vt:lpstr>
      <vt:lpstr>Budget</vt:lpstr>
      <vt:lpstr>Riepilogo</vt:lpstr>
      <vt:lpstr>Istruzioni</vt:lpstr>
      <vt:lpstr>Annuale</vt:lpstr>
      <vt:lpstr>Mesi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Budget</dc:creator>
  <dc:description/>
  <cp:revision>2</cp:revision>
  <dcterms:created xsi:type="dcterms:W3CDTF">2026-08-24T11:59:25Z</dcterms:created>
  <dcterms:modified xsi:type="dcterms:W3CDTF">2026-10-01T12:01:03Z</dcterms:modified>
  <dc:language>en-US</dc:language>
</cp:coreProperties>
</file>